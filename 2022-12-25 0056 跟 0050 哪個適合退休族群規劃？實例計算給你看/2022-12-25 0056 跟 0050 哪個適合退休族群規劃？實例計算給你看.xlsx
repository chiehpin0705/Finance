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網路文章\大仁_淺談保險觀念\"/>
    </mc:Choice>
  </mc:AlternateContent>
  <xr:revisionPtr revIDLastSave="0" documentId="13_ncr:1_{F903B91B-835B-4E6F-A264-D3B4A8DC0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-1_0056_(2008-2022)改" sheetId="6" r:id="rId1"/>
    <sheet name="2-2_0050_(2008-2022)改" sheetId="7" r:id="rId2"/>
    <sheet name="2-3_0056_(2011-2022)改" sheetId="8" r:id="rId3"/>
    <sheet name="2-4_0050_(2011-2022)改" sheetId="9" r:id="rId4"/>
    <sheet name="1-1_0050_(2008-2022)" sheetId="4" r:id="rId5"/>
    <sheet name="1-2_0056_(2008-2022)" sheetId="5" r:id="rId6"/>
    <sheet name="1-3_0056_(2011-2022)" sheetId="3" r:id="rId7"/>
    <sheet name="1-4_0050_(2011-2022)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9" l="1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7" i="9"/>
  <c r="J8" i="9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7" i="9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7" i="9"/>
  <c r="G7" i="9" s="1"/>
  <c r="J6" i="9"/>
  <c r="K6" i="9"/>
  <c r="E4" i="9"/>
  <c r="K8" i="8"/>
  <c r="K9" i="8"/>
  <c r="K10" i="8"/>
  <c r="K11" i="8"/>
  <c r="K12" i="8"/>
  <c r="K13" i="8"/>
  <c r="K14" i="8"/>
  <c r="K15" i="8"/>
  <c r="K16" i="8"/>
  <c r="K17" i="8"/>
  <c r="K7" i="8"/>
  <c r="J8" i="8"/>
  <c r="J7" i="8"/>
  <c r="G7" i="8"/>
  <c r="D8" i="8"/>
  <c r="D9" i="8"/>
  <c r="J6" i="8"/>
  <c r="D7" i="8" s="1"/>
  <c r="F7" i="8" s="1"/>
  <c r="K6" i="8"/>
  <c r="E7" i="8"/>
  <c r="E8" i="8" s="1"/>
  <c r="F8" i="8" s="1"/>
  <c r="G8" i="8" s="1"/>
  <c r="E4" i="7"/>
  <c r="E4" i="6"/>
  <c r="K13" i="4"/>
  <c r="K13" i="7"/>
  <c r="F26" i="7"/>
  <c r="G26" i="7" s="1"/>
  <c r="F24" i="7"/>
  <c r="G24" i="7" s="1"/>
  <c r="F22" i="7"/>
  <c r="G22" i="7" s="1"/>
  <c r="F20" i="7"/>
  <c r="G20" i="7" s="1"/>
  <c r="F18" i="7"/>
  <c r="G18" i="7" s="1"/>
  <c r="F16" i="7"/>
  <c r="G16" i="7" s="1"/>
  <c r="F25" i="7"/>
  <c r="G25" i="7" s="1"/>
  <c r="F23" i="7"/>
  <c r="G23" i="7" s="1"/>
  <c r="F21" i="7"/>
  <c r="G21" i="7" s="1"/>
  <c r="G19" i="7"/>
  <c r="F19" i="7"/>
  <c r="G17" i="7"/>
  <c r="F17" i="7"/>
  <c r="F15" i="7"/>
  <c r="G15" i="7" s="1"/>
  <c r="H21" i="7"/>
  <c r="H25" i="7"/>
  <c r="H23" i="7"/>
  <c r="H19" i="7"/>
  <c r="H17" i="7"/>
  <c r="H15" i="7"/>
  <c r="E7" i="7"/>
  <c r="E8" i="7" s="1"/>
  <c r="E9" i="7" s="1"/>
  <c r="E10" i="7" s="1"/>
  <c r="E11" i="7" s="1"/>
  <c r="E12" i="7" s="1"/>
  <c r="E13" i="7" s="1"/>
  <c r="E14" i="7" s="1"/>
  <c r="F14" i="7" s="1"/>
  <c r="G14" i="7" s="1"/>
  <c r="J6" i="7"/>
  <c r="D7" i="7" s="1"/>
  <c r="K6" i="7"/>
  <c r="I6" i="5"/>
  <c r="E7" i="6"/>
  <c r="E8" i="6" s="1"/>
  <c r="J6" i="6"/>
  <c r="K6" i="6" s="1"/>
  <c r="E7" i="5"/>
  <c r="E9" i="8" l="1"/>
  <c r="F7" i="7"/>
  <c r="G7" i="7" s="1"/>
  <c r="J7" i="7" s="1"/>
  <c r="K7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G7" i="6"/>
  <c r="J7" i="6" s="1"/>
  <c r="E9" i="6"/>
  <c r="D7" i="6"/>
  <c r="F7" i="6" s="1"/>
  <c r="E8" i="5"/>
  <c r="E10" i="8" l="1"/>
  <c r="F9" i="8"/>
  <c r="G9" i="8" s="1"/>
  <c r="J9" i="8" s="1"/>
  <c r="J8" i="7"/>
  <c r="K8" i="7" s="1"/>
  <c r="J9" i="7"/>
  <c r="D8" i="6"/>
  <c r="F8" i="6" s="1"/>
  <c r="G8" i="6" s="1"/>
  <c r="J8" i="6" s="1"/>
  <c r="D9" i="6" s="1"/>
  <c r="F9" i="6" s="1"/>
  <c r="G9" i="6" s="1"/>
  <c r="K7" i="6"/>
  <c r="E10" i="6"/>
  <c r="E9" i="5"/>
  <c r="D10" i="8" l="1"/>
  <c r="E11" i="8"/>
  <c r="F10" i="8"/>
  <c r="G10" i="8" s="1"/>
  <c r="J10" i="8" s="1"/>
  <c r="J10" i="7"/>
  <c r="K9" i="7"/>
  <c r="J9" i="6"/>
  <c r="K8" i="6"/>
  <c r="E11" i="6"/>
  <c r="E10" i="5"/>
  <c r="D11" i="8" l="1"/>
  <c r="E12" i="8"/>
  <c r="F11" i="8"/>
  <c r="G11" i="8" s="1"/>
  <c r="J11" i="8" s="1"/>
  <c r="J11" i="7"/>
  <c r="K10" i="7"/>
  <c r="K9" i="6"/>
  <c r="D10" i="6"/>
  <c r="F10" i="6" s="1"/>
  <c r="G10" i="6" s="1"/>
  <c r="J10" i="6" s="1"/>
  <c r="E12" i="6"/>
  <c r="E11" i="5"/>
  <c r="D12" i="8" l="1"/>
  <c r="E13" i="8"/>
  <c r="F12" i="8"/>
  <c r="G12" i="8" s="1"/>
  <c r="J12" i="8" s="1"/>
  <c r="J12" i="7"/>
  <c r="K11" i="7"/>
  <c r="K10" i="6"/>
  <c r="D11" i="6"/>
  <c r="F11" i="6" s="1"/>
  <c r="G11" i="6" s="1"/>
  <c r="J11" i="6" s="1"/>
  <c r="E13" i="6"/>
  <c r="E12" i="5"/>
  <c r="D13" i="8" l="1"/>
  <c r="E14" i="8"/>
  <c r="F13" i="8"/>
  <c r="G13" i="8" s="1"/>
  <c r="J13" i="8" s="1"/>
  <c r="J13" i="7"/>
  <c r="J14" i="7" s="1"/>
  <c r="J15" i="7" s="1"/>
  <c r="K12" i="7"/>
  <c r="K11" i="6"/>
  <c r="D12" i="6"/>
  <c r="F12" i="6" s="1"/>
  <c r="G12" i="6" s="1"/>
  <c r="J12" i="6" s="1"/>
  <c r="E14" i="6"/>
  <c r="E13" i="5"/>
  <c r="D14" i="8" l="1"/>
  <c r="E15" i="8"/>
  <c r="F14" i="8"/>
  <c r="G14" i="8" s="1"/>
  <c r="J14" i="8" s="1"/>
  <c r="J16" i="7"/>
  <c r="K15" i="7"/>
  <c r="K14" i="7"/>
  <c r="K12" i="6"/>
  <c r="D13" i="6"/>
  <c r="F13" i="6" s="1"/>
  <c r="G13" i="6" s="1"/>
  <c r="J13" i="6" s="1"/>
  <c r="E15" i="6"/>
  <c r="E14" i="5"/>
  <c r="D15" i="8" l="1"/>
  <c r="E16" i="8"/>
  <c r="F15" i="8"/>
  <c r="G15" i="8" s="1"/>
  <c r="J15" i="8" s="1"/>
  <c r="K16" i="7"/>
  <c r="J17" i="7"/>
  <c r="K13" i="6"/>
  <c r="D14" i="6"/>
  <c r="F14" i="6" s="1"/>
  <c r="G14" i="6" s="1"/>
  <c r="J14" i="6" s="1"/>
  <c r="E16" i="6"/>
  <c r="E15" i="5"/>
  <c r="D16" i="8" l="1"/>
  <c r="E17" i="8"/>
  <c r="F16" i="8"/>
  <c r="G16" i="8" s="1"/>
  <c r="J16" i="8" s="1"/>
  <c r="K17" i="7"/>
  <c r="J18" i="7"/>
  <c r="K14" i="6"/>
  <c r="D15" i="6"/>
  <c r="F15" i="6" s="1"/>
  <c r="G15" i="6" s="1"/>
  <c r="J15" i="6" s="1"/>
  <c r="D16" i="6" s="1"/>
  <c r="F16" i="6" s="1"/>
  <c r="G16" i="6" s="1"/>
  <c r="E17" i="6"/>
  <c r="E16" i="5"/>
  <c r="D17" i="8" l="1"/>
  <c r="F17" i="8"/>
  <c r="G17" i="8" s="1"/>
  <c r="J17" i="8" s="1"/>
  <c r="E4" i="8"/>
  <c r="J19" i="7"/>
  <c r="K18" i="7"/>
  <c r="J16" i="6"/>
  <c r="K15" i="6"/>
  <c r="E18" i="6"/>
  <c r="E17" i="5"/>
  <c r="K19" i="7" l="1"/>
  <c r="J20" i="7"/>
  <c r="K16" i="6"/>
  <c r="D17" i="6"/>
  <c r="F17" i="6" s="1"/>
  <c r="G17" i="6" s="1"/>
  <c r="J17" i="6" s="1"/>
  <c r="E19" i="6"/>
  <c r="E18" i="5"/>
  <c r="J21" i="7" l="1"/>
  <c r="K20" i="7"/>
  <c r="K17" i="6"/>
  <c r="D18" i="6"/>
  <c r="F18" i="6" s="1"/>
  <c r="G18" i="6" s="1"/>
  <c r="J18" i="6" s="1"/>
  <c r="D19" i="6" s="1"/>
  <c r="F19" i="6" s="1"/>
  <c r="G19" i="6" s="1"/>
  <c r="E20" i="6"/>
  <c r="E19" i="5"/>
  <c r="J22" i="7" l="1"/>
  <c r="K21" i="7"/>
  <c r="J19" i="6"/>
  <c r="K18" i="6"/>
  <c r="E20" i="5"/>
  <c r="J23" i="7" l="1"/>
  <c r="K22" i="7"/>
  <c r="K19" i="6"/>
  <c r="D20" i="6"/>
  <c r="F20" i="6" s="1"/>
  <c r="G20" i="6" s="1"/>
  <c r="J20" i="6" s="1"/>
  <c r="K20" i="6" s="1"/>
  <c r="J24" i="7" l="1"/>
  <c r="K23" i="7"/>
  <c r="J25" i="7" l="1"/>
  <c r="K24" i="7"/>
  <c r="J26" i="7" l="1"/>
  <c r="K26" i="7" s="1"/>
  <c r="K25" i="7"/>
</calcChain>
</file>

<file path=xl/sharedStrings.xml><?xml version="1.0" encoding="utf-8"?>
<sst xmlns="http://schemas.openxmlformats.org/spreadsheetml/2006/main" count="98" uniqueCount="20">
  <si>
    <t>時間</t>
  </si>
  <si>
    <t>0050股價</t>
  </si>
  <si>
    <t>現金股利</t>
  </si>
  <si>
    <t>股息</t>
  </si>
  <si>
    <t>生活費(通膨2%)</t>
  </si>
  <si>
    <t>增加股數</t>
  </si>
  <si>
    <t>賣出股數</t>
  </si>
  <si>
    <t>最終股數</t>
  </si>
  <si>
    <t>最終市值</t>
  </si>
  <si>
    <t>生活費
(通膨2%)</t>
    <phoneticPr fontId="2" type="noConversion"/>
  </si>
  <si>
    <t>0056股價</t>
  </si>
  <si>
    <t>初始本金</t>
    <phoneticPr fontId="2" type="noConversion"/>
  </si>
  <si>
    <t>生活費(通膨2%)</t>
    <phoneticPr fontId="2" type="noConversion"/>
  </si>
  <si>
    <t>生活費</t>
    <phoneticPr fontId="2" type="noConversion"/>
  </si>
  <si>
    <t>通膨</t>
    <phoneticPr fontId="2" type="noConversion"/>
  </si>
  <si>
    <t>差額</t>
    <phoneticPr fontId="2" type="noConversion"/>
  </si>
  <si>
    <t>股息</t>
    <phoneticPr fontId="2" type="noConversion"/>
  </si>
  <si>
    <t>增/減股數</t>
    <phoneticPr fontId="2" type="noConversion"/>
  </si>
  <si>
    <t>最終股數</t>
    <phoneticPr fontId="2" type="noConversion"/>
  </si>
  <si>
    <t>最終市值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</si>
</sst>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1" formatCode="_-* #,##0.0_-;\-* #,##0.0_-;_-* &quot;-&quot;??_-;_-@_-"/>
    <numFmt numFmtId="182" formatCode="_-* #,##0_-;\-* #,##0_-;_-* &quot;-&quot;??_-;_-@_-"/>
    <numFmt numFmtId="193" formatCode="#,##0_ ;[Red]\-#,##0\ "/>
  </numFmts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1F1F1F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1F1F1F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3" fontId="5" fillId="0" borderId="1" xfId="0" applyNumberFormat="1" applyFont="1" applyBorder="1" applyAlignment="1">
      <alignment vertical="center" wrapText="1" readingOrder="1"/>
    </xf>
    <xf numFmtId="0" fontId="4" fillId="0" borderId="0" xfId="0" applyFont="1"/>
    <xf numFmtId="0" fontId="3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3" fontId="5" fillId="0" borderId="2" xfId="0" applyNumberFormat="1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3" fontId="5" fillId="0" borderId="4" xfId="0" applyNumberFormat="1" applyFont="1" applyBorder="1" applyAlignment="1">
      <alignment vertical="center" wrapText="1" readingOrder="1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181" fontId="5" fillId="0" borderId="1" xfId="2" applyNumberFormat="1" applyFont="1" applyBorder="1" applyAlignment="1">
      <alignment vertical="center" wrapText="1" readingOrder="1"/>
    </xf>
    <xf numFmtId="182" fontId="5" fillId="0" borderId="1" xfId="2" applyNumberFormat="1" applyFont="1" applyBorder="1" applyAlignment="1">
      <alignment vertical="center" wrapText="1" readingOrder="1"/>
    </xf>
    <xf numFmtId="182" fontId="4" fillId="0" borderId="0" xfId="2" applyNumberFormat="1" applyFont="1" applyAlignment="1"/>
    <xf numFmtId="182" fontId="5" fillId="0" borderId="1" xfId="2" applyNumberFormat="1" applyFont="1" applyBorder="1" applyAlignment="1">
      <alignment horizontal="center" vertical="center" wrapText="1" readingOrder="1"/>
    </xf>
    <xf numFmtId="182" fontId="4" fillId="0" borderId="0" xfId="2" applyNumberFormat="1" applyFont="1" applyAlignment="1">
      <alignment horizontal="center"/>
    </xf>
    <xf numFmtId="182" fontId="5" fillId="0" borderId="2" xfId="2" applyNumberFormat="1" applyFont="1" applyBorder="1" applyAlignment="1">
      <alignment vertical="center" wrapText="1" readingOrder="1"/>
    </xf>
    <xf numFmtId="182" fontId="4" fillId="0" borderId="3" xfId="2" applyNumberFormat="1" applyFont="1" applyBorder="1" applyAlignment="1">
      <alignment vertical="center" wrapText="1" readingOrder="1"/>
    </xf>
    <xf numFmtId="182" fontId="5" fillId="0" borderId="4" xfId="2" applyNumberFormat="1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82" fontId="3" fillId="2" borderId="1" xfId="2" applyNumberFormat="1" applyFont="1" applyFill="1" applyBorder="1" applyAlignment="1">
      <alignment horizontal="center" vertical="center" wrapText="1" readingOrder="1"/>
    </xf>
    <xf numFmtId="2" fontId="5" fillId="0" borderId="1" xfId="0" applyNumberFormat="1" applyFont="1" applyBorder="1" applyAlignment="1">
      <alignment vertical="center" wrapText="1" readingOrder="1"/>
    </xf>
    <xf numFmtId="182" fontId="4" fillId="0" borderId="0" xfId="2" applyNumberFormat="1" applyFont="1" applyAlignment="1">
      <alignment horizontal="left"/>
    </xf>
    <xf numFmtId="10" fontId="5" fillId="0" borderId="0" xfId="1" applyNumberFormat="1" applyFont="1" applyBorder="1" applyAlignment="1">
      <alignment horizontal="center" vertical="center" wrapText="1" readingOrder="1"/>
    </xf>
    <xf numFmtId="182" fontId="5" fillId="3" borderId="1" xfId="2" applyNumberFormat="1" applyFont="1" applyFill="1" applyBorder="1" applyAlignment="1">
      <alignment vertical="center" wrapText="1" readingOrder="1"/>
    </xf>
    <xf numFmtId="193" fontId="5" fillId="0" borderId="4" xfId="2" applyNumberFormat="1" applyFont="1" applyBorder="1" applyAlignment="1">
      <alignment vertical="center" wrapText="1" readingOrder="1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colors>
    <mruColors>
      <color rgb="FFFFF6D9"/>
      <color rgb="FFFDD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825E-C219-4E5C-A8B5-29660A22D5AC}">
  <dimension ref="A1:M20"/>
  <sheetViews>
    <sheetView tabSelected="1" workbookViewId="0">
      <selection activeCell="C21" sqref="C21"/>
    </sheetView>
  </sheetViews>
  <sheetFormatPr defaultRowHeight="16.2" x14ac:dyDescent="0.3"/>
  <cols>
    <col min="1" max="1" width="10.625" style="2" customWidth="1"/>
    <col min="2" max="2" width="16.625" style="6" customWidth="1"/>
    <col min="3" max="3" width="11.375" style="6" customWidth="1"/>
    <col min="4" max="4" width="13.25" style="6" bestFit="1" customWidth="1"/>
    <col min="5" max="5" width="16.25" style="21" customWidth="1"/>
    <col min="6" max="6" width="12.125" style="21" customWidth="1"/>
    <col min="7" max="7" width="14" style="21" customWidth="1"/>
    <col min="8" max="8" width="13.125" style="21" customWidth="1"/>
    <col min="9" max="9" width="13.625" style="21" customWidth="1"/>
    <col min="10" max="10" width="13.25" style="21" bestFit="1" customWidth="1"/>
    <col min="11" max="11" width="17.5" style="21" bestFit="1" customWidth="1"/>
    <col min="12" max="12" width="9" style="6"/>
    <col min="13" max="13" width="13.25" style="6" bestFit="1" customWidth="1"/>
    <col min="14" max="16384" width="9" style="6"/>
  </cols>
  <sheetData>
    <row r="1" spans="1:13" x14ac:dyDescent="0.3">
      <c r="A1" s="15" t="s">
        <v>11</v>
      </c>
      <c r="B1" s="30">
        <v>10000000</v>
      </c>
    </row>
    <row r="2" spans="1:13" x14ac:dyDescent="0.3">
      <c r="A2" s="15" t="s">
        <v>13</v>
      </c>
      <c r="B2" s="30">
        <v>500000</v>
      </c>
    </row>
    <row r="3" spans="1:13" x14ac:dyDescent="0.3">
      <c r="A3" s="15" t="s">
        <v>14</v>
      </c>
      <c r="B3" s="31">
        <v>0.02</v>
      </c>
    </row>
    <row r="4" spans="1:13" ht="16.8" thickBot="1" x14ac:dyDescent="0.35">
      <c r="E4" s="21">
        <f>SUM(E6:E20)</f>
        <v>7986969.0765718035</v>
      </c>
    </row>
    <row r="5" spans="1:13" s="2" customFormat="1" ht="33" thickBot="1" x14ac:dyDescent="0.35">
      <c r="A5" s="27" t="s">
        <v>0</v>
      </c>
      <c r="B5" s="27" t="s">
        <v>10</v>
      </c>
      <c r="C5" s="27" t="s">
        <v>2</v>
      </c>
      <c r="D5" s="27" t="s">
        <v>16</v>
      </c>
      <c r="E5" s="27" t="s">
        <v>9</v>
      </c>
      <c r="F5" s="27" t="s">
        <v>15</v>
      </c>
      <c r="G5" s="27" t="s">
        <v>17</v>
      </c>
      <c r="H5" s="28" t="s">
        <v>5</v>
      </c>
      <c r="I5" s="28" t="s">
        <v>6</v>
      </c>
      <c r="J5" s="28" t="s">
        <v>18</v>
      </c>
      <c r="K5" s="28" t="s">
        <v>19</v>
      </c>
    </row>
    <row r="6" spans="1:13" ht="16.8" thickBot="1" x14ac:dyDescent="0.35">
      <c r="A6" s="3">
        <v>2008</v>
      </c>
      <c r="B6" s="4">
        <v>26.04</v>
      </c>
      <c r="C6" s="29">
        <v>0</v>
      </c>
      <c r="D6" s="4"/>
      <c r="E6" s="20">
        <v>0</v>
      </c>
      <c r="F6" s="20"/>
      <c r="G6" s="20"/>
      <c r="H6" s="20">
        <v>0</v>
      </c>
      <c r="I6" s="20">
        <v>0</v>
      </c>
      <c r="J6" s="20">
        <f>B1/B6</f>
        <v>384024.57757296466</v>
      </c>
      <c r="K6" s="20">
        <f>B6*J6</f>
        <v>10000000</v>
      </c>
      <c r="M6" s="2"/>
    </row>
    <row r="7" spans="1:13" ht="16.8" thickBot="1" x14ac:dyDescent="0.35">
      <c r="A7" s="3">
        <v>2009</v>
      </c>
      <c r="B7" s="4">
        <v>23.63</v>
      </c>
      <c r="C7" s="29">
        <v>2</v>
      </c>
      <c r="D7" s="20">
        <f>J6*C7</f>
        <v>768049.15514592931</v>
      </c>
      <c r="E7" s="20">
        <f>B2</f>
        <v>500000</v>
      </c>
      <c r="F7" s="33">
        <f>D7-E7</f>
        <v>268049.15514592931</v>
      </c>
      <c r="G7" s="33">
        <f>F7/(B7-C7)</f>
        <v>12392.471342853876</v>
      </c>
      <c r="H7" s="33">
        <v>12392</v>
      </c>
      <c r="I7" s="20">
        <v>0</v>
      </c>
      <c r="J7" s="20">
        <f>J6+G7</f>
        <v>396417.04891581851</v>
      </c>
      <c r="K7" s="20">
        <f>(B7-C7)*J7</f>
        <v>8574500.7680491544</v>
      </c>
      <c r="M7" s="2"/>
    </row>
    <row r="8" spans="1:13" ht="16.8" thickBot="1" x14ac:dyDescent="0.35">
      <c r="A8" s="3">
        <v>2010</v>
      </c>
      <c r="B8" s="4">
        <v>26.2</v>
      </c>
      <c r="C8" s="29">
        <v>0</v>
      </c>
      <c r="D8" s="20">
        <f>J7*C8</f>
        <v>0</v>
      </c>
      <c r="E8" s="20">
        <f>E7*(1+$B$3)</f>
        <v>510000</v>
      </c>
      <c r="F8" s="33">
        <f>D8-E8</f>
        <v>-510000</v>
      </c>
      <c r="G8" s="33">
        <f>F8/(B8-C8)</f>
        <v>-19465.648854961833</v>
      </c>
      <c r="H8" s="20">
        <v>0</v>
      </c>
      <c r="I8" s="33">
        <v>19466</v>
      </c>
      <c r="J8" s="20">
        <f t="shared" ref="J8:J20" si="0">J7+G8</f>
        <v>376951.40006085666</v>
      </c>
      <c r="K8" s="20">
        <f>(B8-C8)*J8</f>
        <v>9876126.6815944444</v>
      </c>
      <c r="M8" s="2"/>
    </row>
    <row r="9" spans="1:13" ht="16.8" thickBot="1" x14ac:dyDescent="0.35">
      <c r="A9" s="3">
        <v>2011</v>
      </c>
      <c r="B9" s="4">
        <v>25.21</v>
      </c>
      <c r="C9" s="29">
        <v>2.2000000000000002</v>
      </c>
      <c r="D9" s="20">
        <f>J8*C9</f>
        <v>829293.08013388468</v>
      </c>
      <c r="E9" s="20">
        <f t="shared" ref="E9:E20" si="1">E8*(1+$B$3)</f>
        <v>520200</v>
      </c>
      <c r="F9" s="33">
        <f>D9-E9</f>
        <v>309093.08013388468</v>
      </c>
      <c r="G9" s="33">
        <f>F9/(B9-C9)</f>
        <v>13432.98914097717</v>
      </c>
      <c r="H9" s="33">
        <v>13433</v>
      </c>
      <c r="I9" s="20">
        <v>0</v>
      </c>
      <c r="J9" s="20">
        <f>J8+G9</f>
        <v>390384.38920183381</v>
      </c>
      <c r="K9" s="32">
        <f>(B9-C9)*J9</f>
        <v>8982744.7955341972</v>
      </c>
    </row>
    <row r="10" spans="1:13" ht="16.8" thickBot="1" x14ac:dyDescent="0.35">
      <c r="A10" s="3">
        <v>2012</v>
      </c>
      <c r="B10" s="4">
        <v>24.4</v>
      </c>
      <c r="C10" s="29">
        <v>1.3</v>
      </c>
      <c r="D10" s="20">
        <f>J9*C10</f>
        <v>507499.70596238395</v>
      </c>
      <c r="E10" s="20">
        <f t="shared" si="1"/>
        <v>530604</v>
      </c>
      <c r="F10" s="33">
        <f>D10-E10</f>
        <v>-23104.294037616055</v>
      </c>
      <c r="G10" s="33">
        <f>F10/(B10-C10)</f>
        <v>-1000.1858890742882</v>
      </c>
      <c r="H10" s="20">
        <v>0</v>
      </c>
      <c r="I10" s="33">
        <v>1000</v>
      </c>
      <c r="J10" s="20">
        <f t="shared" si="0"/>
        <v>389384.20331275952</v>
      </c>
      <c r="K10" s="20">
        <f>(B10-C10)*J10</f>
        <v>8994775.0965247434</v>
      </c>
    </row>
    <row r="11" spans="1:13" ht="16.8" thickBot="1" x14ac:dyDescent="0.35">
      <c r="A11" s="3">
        <v>2013</v>
      </c>
      <c r="B11" s="4">
        <v>24.18</v>
      </c>
      <c r="C11" s="29">
        <v>0.85</v>
      </c>
      <c r="D11" s="20">
        <f>J10*C11</f>
        <v>330976.5728158456</v>
      </c>
      <c r="E11" s="20">
        <f t="shared" si="1"/>
        <v>541216.07999999996</v>
      </c>
      <c r="F11" s="33">
        <f>D11-E11</f>
        <v>-210239.50718415435</v>
      </c>
      <c r="G11" s="33">
        <f>F11/(B11-C11)</f>
        <v>-9011.5519581720691</v>
      </c>
      <c r="H11" s="20">
        <v>0</v>
      </c>
      <c r="I11" s="33">
        <v>8939</v>
      </c>
      <c r="J11" s="20">
        <f t="shared" si="0"/>
        <v>380372.65135458746</v>
      </c>
      <c r="K11" s="20">
        <f>(B11-C11)*J11</f>
        <v>8874093.956102524</v>
      </c>
    </row>
    <row r="12" spans="1:13" ht="16.8" thickBot="1" x14ac:dyDescent="0.35">
      <c r="A12" s="3">
        <v>2014</v>
      </c>
      <c r="B12" s="4">
        <v>23.96</v>
      </c>
      <c r="C12" s="29">
        <v>1</v>
      </c>
      <c r="D12" s="20">
        <f>J11*C12</f>
        <v>380372.65135458746</v>
      </c>
      <c r="E12" s="20">
        <f t="shared" si="1"/>
        <v>552040.40159999998</v>
      </c>
      <c r="F12" s="33">
        <f>D12-E12</f>
        <v>-171667.75024541252</v>
      </c>
      <c r="G12" s="33">
        <f>F12/(B12-C12)</f>
        <v>-7476.8183904796388</v>
      </c>
      <c r="H12" s="20">
        <v>0</v>
      </c>
      <c r="I12" s="33">
        <v>7387</v>
      </c>
      <c r="J12" s="20">
        <f t="shared" si="0"/>
        <v>372895.8329641078</v>
      </c>
      <c r="K12" s="20">
        <f>(B12-C12)*J12</f>
        <v>8561688.3248559162</v>
      </c>
    </row>
    <row r="13" spans="1:13" ht="16.8" thickBot="1" x14ac:dyDescent="0.35">
      <c r="A13" s="3">
        <v>2015</v>
      </c>
      <c r="B13" s="4">
        <v>22.65</v>
      </c>
      <c r="C13" s="29">
        <v>1</v>
      </c>
      <c r="D13" s="20">
        <f>J12*C13</f>
        <v>372895.8329641078</v>
      </c>
      <c r="E13" s="20">
        <f t="shared" si="1"/>
        <v>563081.20963199995</v>
      </c>
      <c r="F13" s="33">
        <f>D13-E13</f>
        <v>-190185.37666789215</v>
      </c>
      <c r="G13" s="33">
        <f>F13/(B13-C13)</f>
        <v>-8784.5439569465198</v>
      </c>
      <c r="H13" s="20">
        <v>0</v>
      </c>
      <c r="I13" s="33">
        <v>8685</v>
      </c>
      <c r="J13" s="20">
        <f t="shared" si="0"/>
        <v>364111.28900716128</v>
      </c>
      <c r="K13" s="20">
        <f>(B13-C13)*J13</f>
        <v>7883009.4070050409</v>
      </c>
    </row>
    <row r="14" spans="1:13" ht="16.8" thickBot="1" x14ac:dyDescent="0.35">
      <c r="A14" s="3">
        <v>2016</v>
      </c>
      <c r="B14" s="4">
        <v>25.35</v>
      </c>
      <c r="C14" s="29">
        <v>1.3</v>
      </c>
      <c r="D14" s="20">
        <f>J13*C14</f>
        <v>473344.6757093097</v>
      </c>
      <c r="E14" s="20">
        <f t="shared" si="1"/>
        <v>574342.83382463991</v>
      </c>
      <c r="F14" s="33">
        <f>D14-E14</f>
        <v>-100998.15811533021</v>
      </c>
      <c r="G14" s="33">
        <f>F14/(B14-C14)</f>
        <v>-4199.5076139430439</v>
      </c>
      <c r="H14" s="20">
        <v>0</v>
      </c>
      <c r="I14" s="33">
        <v>4077</v>
      </c>
      <c r="J14" s="20">
        <f t="shared" si="0"/>
        <v>359911.78139321826</v>
      </c>
      <c r="K14" s="20">
        <f>(B14-C14)*J14</f>
        <v>8655878.3425068986</v>
      </c>
    </row>
    <row r="15" spans="1:13" ht="16.8" thickBot="1" x14ac:dyDescent="0.35">
      <c r="A15" s="3">
        <v>2017</v>
      </c>
      <c r="B15" s="4">
        <v>26.39</v>
      </c>
      <c r="C15" s="29">
        <v>0.95</v>
      </c>
      <c r="D15" s="20">
        <f>J14*C15</f>
        <v>341916.19232355733</v>
      </c>
      <c r="E15" s="20">
        <f t="shared" si="1"/>
        <v>585829.69050113275</v>
      </c>
      <c r="F15" s="33">
        <f>D15-E15</f>
        <v>-243913.49817757541</v>
      </c>
      <c r="G15" s="33">
        <f>F15/(B15-C15)</f>
        <v>-9587.7947396845684</v>
      </c>
      <c r="H15" s="20">
        <v>0</v>
      </c>
      <c r="I15" s="33">
        <v>9499</v>
      </c>
      <c r="J15" s="20">
        <f t="shared" si="0"/>
        <v>350323.98665353371</v>
      </c>
      <c r="K15" s="20">
        <f>(B15-C15)*J15</f>
        <v>8912242.2204658985</v>
      </c>
    </row>
    <row r="16" spans="1:13" ht="16.8" thickBot="1" x14ac:dyDescent="0.35">
      <c r="A16" s="3">
        <v>2018</v>
      </c>
      <c r="B16" s="4">
        <v>25.81</v>
      </c>
      <c r="C16" s="29">
        <v>1.45</v>
      </c>
      <c r="D16" s="20">
        <f>J15*C16</f>
        <v>507969.78064762388</v>
      </c>
      <c r="E16" s="20">
        <f t="shared" si="1"/>
        <v>597546.28431115544</v>
      </c>
      <c r="F16" s="33">
        <f>D16-E16</f>
        <v>-89576.503663531563</v>
      </c>
      <c r="G16" s="33">
        <f>F16/(B16-C16)</f>
        <v>-3677.1963737081924</v>
      </c>
      <c r="H16" s="20">
        <v>0</v>
      </c>
      <c r="I16" s="33">
        <v>3530</v>
      </c>
      <c r="J16" s="20">
        <f t="shared" si="0"/>
        <v>346646.79027982551</v>
      </c>
      <c r="K16" s="20">
        <f>(B16-C16)*J16</f>
        <v>8444315.8112165499</v>
      </c>
    </row>
    <row r="17" spans="1:11" ht="16.8" thickBot="1" x14ac:dyDescent="0.35">
      <c r="A17" s="3">
        <v>2019</v>
      </c>
      <c r="B17" s="4">
        <v>29.03</v>
      </c>
      <c r="C17" s="29">
        <v>1.8</v>
      </c>
      <c r="D17" s="20">
        <f>J16*C17</f>
        <v>623964.22250368597</v>
      </c>
      <c r="E17" s="20">
        <f t="shared" si="1"/>
        <v>609497.20999737852</v>
      </c>
      <c r="F17" s="33">
        <f>D17-E17</f>
        <v>14467.012506307452</v>
      </c>
      <c r="G17" s="33">
        <f>F17/(B17-C17)</f>
        <v>531.28947874797836</v>
      </c>
      <c r="H17" s="33">
        <v>705</v>
      </c>
      <c r="I17" s="20">
        <v>0</v>
      </c>
      <c r="J17" s="20">
        <f t="shared" si="0"/>
        <v>347178.0797585735</v>
      </c>
      <c r="K17" s="20">
        <f>(B17-C17)*J17</f>
        <v>9453659.111825956</v>
      </c>
    </row>
    <row r="18" spans="1:11" ht="16.8" thickBot="1" x14ac:dyDescent="0.35">
      <c r="A18" s="3">
        <v>2020</v>
      </c>
      <c r="B18" s="4">
        <v>29.69</v>
      </c>
      <c r="C18" s="29">
        <v>1.6</v>
      </c>
      <c r="D18" s="20">
        <f>J17*C18</f>
        <v>555484.92761371762</v>
      </c>
      <c r="E18" s="20">
        <f t="shared" si="1"/>
        <v>621687.15419732605</v>
      </c>
      <c r="F18" s="33">
        <f>D18-E18</f>
        <v>-66202.226583608426</v>
      </c>
      <c r="G18" s="33">
        <f>F18/(B18-C18)</f>
        <v>-2356.7898392171032</v>
      </c>
      <c r="H18" s="20">
        <v>0</v>
      </c>
      <c r="I18" s="33">
        <v>2198</v>
      </c>
      <c r="J18" s="20">
        <f t="shared" si="0"/>
        <v>344821.28991935641</v>
      </c>
      <c r="K18" s="20">
        <f>(B18-C18)*J18</f>
        <v>9686030.0338347219</v>
      </c>
    </row>
    <row r="19" spans="1:11" ht="16.8" thickBot="1" x14ac:dyDescent="0.35">
      <c r="A19" s="3">
        <v>2021</v>
      </c>
      <c r="B19" s="4">
        <v>32.4</v>
      </c>
      <c r="C19" s="29">
        <v>1.8</v>
      </c>
      <c r="D19" s="20">
        <f>J18*C19</f>
        <v>620678.32185484155</v>
      </c>
      <c r="E19" s="20">
        <f t="shared" si="1"/>
        <v>634120.89728127257</v>
      </c>
      <c r="F19" s="33">
        <f>D19-E19</f>
        <v>-13442.575426431024</v>
      </c>
      <c r="G19" s="33">
        <f>F19/(B19-C19)</f>
        <v>-439.29985053696157</v>
      </c>
      <c r="H19" s="20">
        <v>0</v>
      </c>
      <c r="I19" s="33">
        <v>265</v>
      </c>
      <c r="J19" s="20">
        <f t="shared" si="0"/>
        <v>344381.99006881943</v>
      </c>
      <c r="K19" s="20">
        <f>(B19-C19)*J19</f>
        <v>10538088.896105874</v>
      </c>
    </row>
    <row r="20" spans="1:11" ht="16.8" thickBot="1" x14ac:dyDescent="0.35">
      <c r="A20" s="3">
        <v>2022</v>
      </c>
      <c r="B20" s="4">
        <v>25.84</v>
      </c>
      <c r="C20" s="29">
        <v>2.1</v>
      </c>
      <c r="D20" s="20">
        <f>J19*C20</f>
        <v>723202.17914452089</v>
      </c>
      <c r="E20" s="20">
        <f t="shared" si="1"/>
        <v>646803.31522689806</v>
      </c>
      <c r="F20" s="33">
        <f>D20-E20</f>
        <v>76398.863917622832</v>
      </c>
      <c r="G20" s="33">
        <f>F20/(B20-C20)</f>
        <v>3218.1492804390409</v>
      </c>
      <c r="H20" s="33">
        <v>3495</v>
      </c>
      <c r="I20" s="20">
        <v>0</v>
      </c>
      <c r="J20" s="20">
        <f t="shared" si="0"/>
        <v>347600.13934925845</v>
      </c>
      <c r="K20" s="20">
        <f>(B20-C20)*J20</f>
        <v>8252027.3081513951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1978-89DF-4C15-9C9F-C8D3FE22362A}">
  <dimension ref="A1:K26"/>
  <sheetViews>
    <sheetView topLeftCell="A4" workbookViewId="0">
      <selection activeCell="K14" sqref="K14"/>
    </sheetView>
  </sheetViews>
  <sheetFormatPr defaultRowHeight="16.2" x14ac:dyDescent="0.3"/>
  <cols>
    <col min="1" max="1" width="10" style="2" customWidth="1"/>
    <col min="2" max="2" width="16" style="6" customWidth="1"/>
    <col min="3" max="3" width="11.375" style="6" customWidth="1"/>
    <col min="4" max="4" width="12.625" style="21" customWidth="1"/>
    <col min="5" max="5" width="14.75" style="21" customWidth="1"/>
    <col min="6" max="6" width="12.125" style="21" customWidth="1"/>
    <col min="7" max="7" width="13" style="21" customWidth="1"/>
    <col min="8" max="8" width="13.125" style="6" customWidth="1"/>
    <col min="9" max="9" width="13.625" style="6" customWidth="1"/>
    <col min="10" max="10" width="13.625" style="21" customWidth="1"/>
    <col min="11" max="11" width="17.5" style="6" bestFit="1" customWidth="1"/>
    <col min="12" max="12" width="9" style="6"/>
    <col min="13" max="13" width="20.25" style="6" bestFit="1" customWidth="1"/>
    <col min="14" max="16384" width="9" style="6"/>
  </cols>
  <sheetData>
    <row r="1" spans="1:11" x14ac:dyDescent="0.3">
      <c r="A1" s="2" t="s">
        <v>11</v>
      </c>
      <c r="B1" s="30">
        <v>10000000</v>
      </c>
    </row>
    <row r="2" spans="1:11" x14ac:dyDescent="0.3">
      <c r="A2" s="2" t="s">
        <v>13</v>
      </c>
      <c r="B2" s="30">
        <v>500000</v>
      </c>
    </row>
    <row r="3" spans="1:11" x14ac:dyDescent="0.3">
      <c r="A3" s="2" t="s">
        <v>14</v>
      </c>
      <c r="B3" s="31">
        <v>0.02</v>
      </c>
    </row>
    <row r="4" spans="1:11" ht="16.8" thickBot="1" x14ac:dyDescent="0.35">
      <c r="E4" s="21">
        <f>SUM(E6:E26)</f>
        <v>7986968.5250566397</v>
      </c>
    </row>
    <row r="5" spans="1:11" s="2" customFormat="1" ht="33" thickBot="1" x14ac:dyDescent="0.35">
      <c r="A5" s="27" t="s">
        <v>0</v>
      </c>
      <c r="B5" s="27" t="s">
        <v>1</v>
      </c>
      <c r="C5" s="27" t="s">
        <v>2</v>
      </c>
      <c r="D5" s="28" t="s">
        <v>3</v>
      </c>
      <c r="E5" s="28" t="s">
        <v>9</v>
      </c>
      <c r="F5" s="28" t="s">
        <v>15</v>
      </c>
      <c r="G5" s="27" t="s">
        <v>17</v>
      </c>
      <c r="H5" s="27" t="s">
        <v>5</v>
      </c>
      <c r="I5" s="27" t="s">
        <v>6</v>
      </c>
      <c r="J5" s="28" t="s">
        <v>7</v>
      </c>
      <c r="K5" s="27" t="s">
        <v>8</v>
      </c>
    </row>
    <row r="6" spans="1:11" ht="16.8" thickBot="1" x14ac:dyDescent="0.35">
      <c r="A6" s="1">
        <v>2008</v>
      </c>
      <c r="B6" s="4">
        <v>61.45</v>
      </c>
      <c r="C6" s="4">
        <v>0</v>
      </c>
      <c r="D6" s="20">
        <v>0</v>
      </c>
      <c r="E6" s="20">
        <v>0</v>
      </c>
      <c r="F6" s="20"/>
      <c r="G6" s="20"/>
      <c r="H6" s="4">
        <v>0</v>
      </c>
      <c r="I6" s="4">
        <v>0</v>
      </c>
      <c r="J6" s="20">
        <f>B1/B6</f>
        <v>162733.93002441007</v>
      </c>
      <c r="K6" s="20">
        <f>B1</f>
        <v>10000000</v>
      </c>
    </row>
    <row r="7" spans="1:11" ht="16.8" thickBot="1" x14ac:dyDescent="0.35">
      <c r="A7" s="1">
        <v>2009</v>
      </c>
      <c r="B7" s="4">
        <v>53.7</v>
      </c>
      <c r="C7" s="4">
        <v>1</v>
      </c>
      <c r="D7" s="20">
        <f>J6*C7</f>
        <v>162733.93002441007</v>
      </c>
      <c r="E7" s="20">
        <f>B2</f>
        <v>500000</v>
      </c>
      <c r="F7" s="33">
        <f>D7-E7</f>
        <v>-337266.06997558993</v>
      </c>
      <c r="G7" s="33">
        <f>F7/(B7-C7)</f>
        <v>-6399.7356731610989</v>
      </c>
      <c r="H7" s="4">
        <v>0</v>
      </c>
      <c r="I7" s="4">
        <v>6400</v>
      </c>
      <c r="J7" s="20">
        <f>J6+G7</f>
        <v>156334.19435124897</v>
      </c>
      <c r="K7" s="5">
        <f>J7*(B7-C7)</f>
        <v>8238812.0423108209</v>
      </c>
    </row>
    <row r="8" spans="1:11" ht="16.8" thickBot="1" x14ac:dyDescent="0.35">
      <c r="A8" s="1">
        <v>2010</v>
      </c>
      <c r="B8" s="4">
        <v>57.1</v>
      </c>
      <c r="C8" s="4">
        <v>2.2000000000000002</v>
      </c>
      <c r="D8" s="20">
        <v>343935</v>
      </c>
      <c r="E8" s="20">
        <f>E7*(1+$B$3)</f>
        <v>510000</v>
      </c>
      <c r="F8" s="33">
        <f t="shared" ref="F8:F26" si="0">D8-E8</f>
        <v>-166065</v>
      </c>
      <c r="G8" s="33">
        <f t="shared" ref="G8:G26" si="1">F8/(B8-C8)</f>
        <v>-3024.8633879781423</v>
      </c>
      <c r="H8" s="4">
        <v>0</v>
      </c>
      <c r="I8" s="4">
        <v>3025</v>
      </c>
      <c r="J8" s="20">
        <f t="shared" ref="J8:J26" si="2">J7+G8</f>
        <v>153309.33096327083</v>
      </c>
      <c r="K8" s="5">
        <f t="shared" ref="K8:K26" si="3">J8*(B8-C8)</f>
        <v>8416682.2698835675</v>
      </c>
    </row>
    <row r="9" spans="1:11" ht="16.8" thickBot="1" x14ac:dyDescent="0.35">
      <c r="A9" s="1">
        <v>2011</v>
      </c>
      <c r="B9" s="4">
        <v>53.6</v>
      </c>
      <c r="C9" s="4">
        <v>1.95</v>
      </c>
      <c r="D9" s="20">
        <v>298953</v>
      </c>
      <c r="E9" s="20">
        <f t="shared" ref="E9:E14" si="4">E8*(1+$B$3)</f>
        <v>520200</v>
      </c>
      <c r="F9" s="33">
        <f t="shared" si="0"/>
        <v>-221247</v>
      </c>
      <c r="G9" s="33">
        <f t="shared" si="1"/>
        <v>-4283.5818005808324</v>
      </c>
      <c r="H9" s="4">
        <v>0</v>
      </c>
      <c r="I9" s="4">
        <v>4284</v>
      </c>
      <c r="J9" s="20">
        <f t="shared" si="2"/>
        <v>149025.74916268999</v>
      </c>
      <c r="K9" s="5">
        <f t="shared" si="3"/>
        <v>7697179.944252938</v>
      </c>
    </row>
    <row r="10" spans="1:11" ht="16.8" thickBot="1" x14ac:dyDescent="0.35">
      <c r="A10" s="1">
        <v>2012</v>
      </c>
      <c r="B10" s="4">
        <v>52.9</v>
      </c>
      <c r="C10" s="4">
        <v>1.85</v>
      </c>
      <c r="D10" s="20">
        <v>275698</v>
      </c>
      <c r="E10" s="20">
        <f t="shared" si="4"/>
        <v>530604</v>
      </c>
      <c r="F10" s="33">
        <f t="shared" si="0"/>
        <v>-254906</v>
      </c>
      <c r="G10" s="33">
        <f t="shared" si="1"/>
        <v>-4993.2615083251712</v>
      </c>
      <c r="H10" s="4">
        <v>0</v>
      </c>
      <c r="I10" s="4">
        <v>4993</v>
      </c>
      <c r="J10" s="20">
        <f t="shared" si="2"/>
        <v>144032.48765436481</v>
      </c>
      <c r="K10" s="5">
        <f t="shared" si="3"/>
        <v>7352858.494755323</v>
      </c>
    </row>
    <row r="11" spans="1:11" ht="16.8" thickBot="1" x14ac:dyDescent="0.35">
      <c r="A11" s="1">
        <v>2013</v>
      </c>
      <c r="B11" s="4">
        <v>58.7</v>
      </c>
      <c r="C11" s="4">
        <v>1.35</v>
      </c>
      <c r="D11" s="20">
        <v>194444</v>
      </c>
      <c r="E11" s="20">
        <f t="shared" si="4"/>
        <v>541216.07999999996</v>
      </c>
      <c r="F11" s="33">
        <f t="shared" si="0"/>
        <v>-346772.07999999996</v>
      </c>
      <c r="G11" s="33">
        <f t="shared" si="1"/>
        <v>-6046.5925021795983</v>
      </c>
      <c r="H11" s="4">
        <v>0</v>
      </c>
      <c r="I11" s="4">
        <v>6047</v>
      </c>
      <c r="J11" s="20">
        <f t="shared" si="2"/>
        <v>137985.89515218523</v>
      </c>
      <c r="K11" s="5">
        <f t="shared" si="3"/>
        <v>7913491.0869778227</v>
      </c>
    </row>
    <row r="12" spans="1:11" ht="16.8" thickBot="1" x14ac:dyDescent="0.35">
      <c r="A12" s="1">
        <v>2014</v>
      </c>
      <c r="B12" s="4">
        <v>65.05</v>
      </c>
      <c r="C12" s="4">
        <v>1.55</v>
      </c>
      <c r="D12" s="20">
        <v>213878</v>
      </c>
      <c r="E12" s="20">
        <f t="shared" si="4"/>
        <v>552040.40159999998</v>
      </c>
      <c r="F12" s="33">
        <f t="shared" si="0"/>
        <v>-338162.40159999998</v>
      </c>
      <c r="G12" s="33">
        <f t="shared" si="1"/>
        <v>-5325.3921511811022</v>
      </c>
      <c r="H12" s="4">
        <v>0</v>
      </c>
      <c r="I12" s="4">
        <v>5325</v>
      </c>
      <c r="J12" s="20">
        <f t="shared" si="2"/>
        <v>132660.50300100414</v>
      </c>
      <c r="K12" s="5">
        <f t="shared" si="3"/>
        <v>8423941.9405637626</v>
      </c>
    </row>
    <row r="13" spans="1:11" ht="16.8" thickBot="1" x14ac:dyDescent="0.35">
      <c r="A13" s="1">
        <v>2015</v>
      </c>
      <c r="B13" s="4">
        <v>65.900000000000006</v>
      </c>
      <c r="C13" s="4">
        <v>2</v>
      </c>
      <c r="D13" s="20">
        <v>265321</v>
      </c>
      <c r="E13" s="20">
        <f t="shared" si="4"/>
        <v>563081.20963199995</v>
      </c>
      <c r="F13" s="33">
        <f t="shared" si="0"/>
        <v>-297760.20963199995</v>
      </c>
      <c r="G13" s="33">
        <f t="shared" si="1"/>
        <v>-4659.7841882942084</v>
      </c>
      <c r="H13" s="4">
        <v>0</v>
      </c>
      <c r="I13" s="4">
        <v>4660</v>
      </c>
      <c r="J13" s="20">
        <f t="shared" si="2"/>
        <v>128000.71881270994</v>
      </c>
      <c r="K13" s="5">
        <f>J13*(B13-C13)</f>
        <v>8179245.9321321659</v>
      </c>
    </row>
    <row r="14" spans="1:11" ht="16.8" thickBot="1" x14ac:dyDescent="0.35">
      <c r="A14" s="1">
        <v>2016</v>
      </c>
      <c r="B14" s="4">
        <v>69.7</v>
      </c>
      <c r="C14" s="4">
        <v>0.85</v>
      </c>
      <c r="D14" s="20">
        <v>108801</v>
      </c>
      <c r="E14" s="20">
        <f t="shared" si="4"/>
        <v>574342.83382463991</v>
      </c>
      <c r="F14" s="33">
        <f t="shared" si="0"/>
        <v>-465541.83382463991</v>
      </c>
      <c r="G14" s="33">
        <f t="shared" si="1"/>
        <v>-6761.6824084915015</v>
      </c>
      <c r="H14" s="4">
        <v>0</v>
      </c>
      <c r="I14" s="4">
        <v>6762</v>
      </c>
      <c r="J14" s="20">
        <f t="shared" si="2"/>
        <v>121239.03640421844</v>
      </c>
      <c r="K14" s="5">
        <f t="shared" si="3"/>
        <v>8347307.65643044</v>
      </c>
    </row>
    <row r="15" spans="1:11" ht="16.8" thickBot="1" x14ac:dyDescent="0.35">
      <c r="A15" s="16">
        <v>2017</v>
      </c>
      <c r="B15" s="8">
        <v>73.3</v>
      </c>
      <c r="C15" s="8">
        <v>1.7</v>
      </c>
      <c r="D15" s="24">
        <v>206106</v>
      </c>
      <c r="E15" s="24">
        <v>0</v>
      </c>
      <c r="F15" s="33">
        <f t="shared" si="0"/>
        <v>206106</v>
      </c>
      <c r="G15" s="33">
        <f t="shared" si="1"/>
        <v>2878.5754189944137</v>
      </c>
      <c r="H15" s="33">
        <f>D15/(B15-C15)</f>
        <v>2878.5754189944137</v>
      </c>
      <c r="I15" s="8">
        <v>0</v>
      </c>
      <c r="J15" s="20">
        <f t="shared" si="2"/>
        <v>124117.61182321285</v>
      </c>
      <c r="K15" s="5">
        <f t="shared" si="3"/>
        <v>8886821.00654204</v>
      </c>
    </row>
    <row r="16" spans="1:11" ht="16.8" thickBot="1" x14ac:dyDescent="0.35">
      <c r="A16" s="18"/>
      <c r="B16" s="13">
        <v>82.1</v>
      </c>
      <c r="C16" s="13">
        <v>0.7</v>
      </c>
      <c r="D16" s="26">
        <v>86882</v>
      </c>
      <c r="E16" s="26">
        <v>585830</v>
      </c>
      <c r="F16" s="33">
        <f t="shared" si="0"/>
        <v>-498948</v>
      </c>
      <c r="G16" s="33">
        <f t="shared" si="1"/>
        <v>-6129.5823095823098</v>
      </c>
      <c r="H16" s="33"/>
      <c r="I16" s="13">
        <v>6130</v>
      </c>
      <c r="J16" s="20">
        <f t="shared" si="2"/>
        <v>117988.02951363054</v>
      </c>
      <c r="K16" s="5">
        <f t="shared" si="3"/>
        <v>9604225.6024095248</v>
      </c>
    </row>
    <row r="17" spans="1:11" ht="16.8" thickBot="1" x14ac:dyDescent="0.35">
      <c r="A17" s="16">
        <v>2018</v>
      </c>
      <c r="B17" s="8">
        <v>87.5</v>
      </c>
      <c r="C17" s="8">
        <v>2.2000000000000002</v>
      </c>
      <c r="D17" s="24">
        <v>259574</v>
      </c>
      <c r="E17" s="24">
        <v>0</v>
      </c>
      <c r="F17" s="33">
        <f t="shared" si="0"/>
        <v>259574</v>
      </c>
      <c r="G17" s="33">
        <f t="shared" si="1"/>
        <v>3043.071512309496</v>
      </c>
      <c r="H17" s="33">
        <f>D17/(B17-C17)</f>
        <v>3043.071512309496</v>
      </c>
      <c r="I17" s="8">
        <v>0</v>
      </c>
      <c r="J17" s="20">
        <f t="shared" si="2"/>
        <v>121031.10102594004</v>
      </c>
      <c r="K17" s="5">
        <f t="shared" si="3"/>
        <v>10323952.917512685</v>
      </c>
    </row>
    <row r="18" spans="1:11" ht="16.8" thickBot="1" x14ac:dyDescent="0.35">
      <c r="A18" s="18"/>
      <c r="B18" s="13">
        <v>84.65</v>
      </c>
      <c r="C18" s="13">
        <v>0.7</v>
      </c>
      <c r="D18" s="26">
        <v>84722</v>
      </c>
      <c r="E18" s="26">
        <v>597546</v>
      </c>
      <c r="F18" s="33">
        <f t="shared" si="0"/>
        <v>-512824</v>
      </c>
      <c r="G18" s="33">
        <f t="shared" si="1"/>
        <v>-6108.6837403216196</v>
      </c>
      <c r="H18" s="33"/>
      <c r="I18" s="13">
        <v>6109</v>
      </c>
      <c r="J18" s="20">
        <f t="shared" si="2"/>
        <v>114922.41728561842</v>
      </c>
      <c r="K18" s="5">
        <f t="shared" si="3"/>
        <v>9647736.9311276656</v>
      </c>
    </row>
    <row r="19" spans="1:11" ht="16.8" thickBot="1" x14ac:dyDescent="0.35">
      <c r="A19" s="16">
        <v>2019</v>
      </c>
      <c r="B19" s="8">
        <v>76.5</v>
      </c>
      <c r="C19" s="8">
        <v>2.2999999999999998</v>
      </c>
      <c r="D19" s="24">
        <v>264322</v>
      </c>
      <c r="E19" s="24">
        <v>0</v>
      </c>
      <c r="F19" s="33">
        <f t="shared" ref="F19" si="5">D19-E19</f>
        <v>264322</v>
      </c>
      <c r="G19" s="33">
        <f t="shared" ref="G19" si="6">F19/(B19-C19)</f>
        <v>3562.2911051212936</v>
      </c>
      <c r="H19" s="33">
        <f>D19/(B19-C19)</f>
        <v>3562.2911051212936</v>
      </c>
      <c r="I19" s="8">
        <v>0</v>
      </c>
      <c r="J19" s="20">
        <f t="shared" si="2"/>
        <v>118484.7083907397</v>
      </c>
      <c r="K19" s="5">
        <f t="shared" si="3"/>
        <v>8791565.3625928871</v>
      </c>
    </row>
    <row r="20" spans="1:11" ht="16.8" thickBot="1" x14ac:dyDescent="0.35">
      <c r="A20" s="18"/>
      <c r="B20" s="13">
        <v>82.7</v>
      </c>
      <c r="C20" s="13">
        <v>0.7</v>
      </c>
      <c r="D20" s="26">
        <v>82939</v>
      </c>
      <c r="E20" s="26">
        <v>609497</v>
      </c>
      <c r="F20" s="33">
        <f t="shared" si="0"/>
        <v>-526558</v>
      </c>
      <c r="G20" s="33">
        <f t="shared" si="1"/>
        <v>-6421.4390243902435</v>
      </c>
      <c r="H20" s="33"/>
      <c r="I20" s="13">
        <v>6421</v>
      </c>
      <c r="J20" s="20">
        <f t="shared" si="2"/>
        <v>112063.26936634946</v>
      </c>
      <c r="K20" s="5">
        <f t="shared" si="3"/>
        <v>9189188.0880406555</v>
      </c>
    </row>
    <row r="21" spans="1:11" ht="16.8" thickBot="1" x14ac:dyDescent="0.35">
      <c r="A21" s="16">
        <v>2020</v>
      </c>
      <c r="B21" s="8">
        <v>92.15</v>
      </c>
      <c r="C21" s="8">
        <v>2.9</v>
      </c>
      <c r="D21" s="24">
        <v>324983</v>
      </c>
      <c r="E21" s="24">
        <v>0</v>
      </c>
      <c r="F21" s="33">
        <f t="shared" ref="F21" si="7">D21-E21</f>
        <v>324983</v>
      </c>
      <c r="G21" s="33">
        <f t="shared" ref="G21" si="8">F21/(B21-C21)</f>
        <v>3641.266106442577</v>
      </c>
      <c r="H21" s="33">
        <f>D21/(B21-C21)</f>
        <v>3641.266106442577</v>
      </c>
      <c r="I21" s="8">
        <v>0</v>
      </c>
      <c r="J21" s="20">
        <f t="shared" si="2"/>
        <v>115704.53547279203</v>
      </c>
      <c r="K21" s="5">
        <f t="shared" si="3"/>
        <v>10326629.790946689</v>
      </c>
    </row>
    <row r="22" spans="1:11" ht="16.8" thickBot="1" x14ac:dyDescent="0.35">
      <c r="A22" s="18"/>
      <c r="B22" s="13">
        <v>97.05</v>
      </c>
      <c r="C22" s="13">
        <v>0.7</v>
      </c>
      <c r="D22" s="26">
        <v>80993</v>
      </c>
      <c r="E22" s="26">
        <v>621687</v>
      </c>
      <c r="F22" s="33">
        <f t="shared" si="0"/>
        <v>-540694</v>
      </c>
      <c r="G22" s="33">
        <f t="shared" si="1"/>
        <v>-5611.769590036326</v>
      </c>
      <c r="H22" s="33"/>
      <c r="I22" s="13">
        <v>5612</v>
      </c>
      <c r="J22" s="20">
        <f t="shared" si="2"/>
        <v>110092.7658827557</v>
      </c>
      <c r="K22" s="5">
        <f t="shared" si="3"/>
        <v>10607437.992803512</v>
      </c>
    </row>
    <row r="23" spans="1:11" ht="16.8" thickBot="1" x14ac:dyDescent="0.35">
      <c r="A23" s="16">
        <v>2021</v>
      </c>
      <c r="B23" s="8">
        <v>143</v>
      </c>
      <c r="C23" s="8">
        <v>3.05</v>
      </c>
      <c r="D23" s="24">
        <v>335783</v>
      </c>
      <c r="E23" s="24">
        <v>0</v>
      </c>
      <c r="F23" s="33">
        <f t="shared" ref="F23" si="9">D23-E23</f>
        <v>335783</v>
      </c>
      <c r="G23" s="33">
        <f t="shared" ref="G23" si="10">F23/(B23-C23)</f>
        <v>2399.3068953197571</v>
      </c>
      <c r="H23" s="33">
        <f>D23/(B23-C23)</f>
        <v>2399.3068953197571</v>
      </c>
      <c r="I23" s="8">
        <v>0</v>
      </c>
      <c r="J23" s="20">
        <f t="shared" si="2"/>
        <v>112492.07277807545</v>
      </c>
      <c r="K23" s="5">
        <f t="shared" si="3"/>
        <v>15743265.585291658</v>
      </c>
    </row>
    <row r="24" spans="1:11" ht="16.8" thickBot="1" x14ac:dyDescent="0.35">
      <c r="A24" s="18"/>
      <c r="B24" s="13">
        <v>137.19999999999999</v>
      </c>
      <c r="C24" s="13">
        <v>0.35</v>
      </c>
      <c r="D24" s="26">
        <v>39372</v>
      </c>
      <c r="E24" s="26">
        <v>634121</v>
      </c>
      <c r="F24" s="33">
        <f t="shared" si="0"/>
        <v>-594749</v>
      </c>
      <c r="G24" s="33">
        <f t="shared" si="1"/>
        <v>-4345.9919620021919</v>
      </c>
      <c r="H24" s="33"/>
      <c r="I24" s="13">
        <v>4346</v>
      </c>
      <c r="J24" s="20">
        <f t="shared" si="2"/>
        <v>108146.08081607326</v>
      </c>
      <c r="K24" s="5">
        <f t="shared" si="3"/>
        <v>14799791.159679625</v>
      </c>
    </row>
    <row r="25" spans="1:11" ht="16.8" thickBot="1" x14ac:dyDescent="0.35">
      <c r="A25" s="16">
        <v>2022</v>
      </c>
      <c r="B25" s="8">
        <v>149.1</v>
      </c>
      <c r="C25" s="8">
        <v>3.2</v>
      </c>
      <c r="D25" s="24">
        <v>346067</v>
      </c>
      <c r="E25" s="24">
        <v>0</v>
      </c>
      <c r="F25" s="33">
        <f t="shared" ref="F25" si="11">D25-E25</f>
        <v>346067</v>
      </c>
      <c r="G25" s="33">
        <f t="shared" ref="G25" si="12">F25/(B25-C25)</f>
        <v>2371.9465387251539</v>
      </c>
      <c r="H25" s="33">
        <f>D25/(B25-C25)</f>
        <v>2371.9465387251539</v>
      </c>
      <c r="I25" s="8">
        <v>0</v>
      </c>
      <c r="J25" s="20">
        <f t="shared" si="2"/>
        <v>110518.02735479841</v>
      </c>
      <c r="K25" s="5">
        <f t="shared" si="3"/>
        <v>16124580.191065088</v>
      </c>
    </row>
    <row r="26" spans="1:11" ht="16.8" thickBot="1" x14ac:dyDescent="0.35">
      <c r="A26" s="18"/>
      <c r="B26" s="13">
        <v>115.5</v>
      </c>
      <c r="C26" s="13">
        <v>1.8</v>
      </c>
      <c r="D26" s="26">
        <v>198932</v>
      </c>
      <c r="E26" s="26">
        <v>646803</v>
      </c>
      <c r="F26" s="33">
        <f t="shared" si="0"/>
        <v>-447871</v>
      </c>
      <c r="G26" s="33">
        <f t="shared" si="1"/>
        <v>-3939.0589270008795</v>
      </c>
      <c r="H26" s="33"/>
      <c r="I26" s="13">
        <v>3939</v>
      </c>
      <c r="J26" s="20">
        <f t="shared" si="2"/>
        <v>106578.96842779753</v>
      </c>
      <c r="K26" s="5">
        <f t="shared" si="3"/>
        <v>12118028.71024058</v>
      </c>
    </row>
  </sheetData>
  <mergeCells count="6">
    <mergeCell ref="A15:A16"/>
    <mergeCell ref="A17:A18"/>
    <mergeCell ref="A19:A20"/>
    <mergeCell ref="A21:A22"/>
    <mergeCell ref="A23:A24"/>
    <mergeCell ref="A25:A2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D17D-7183-4CA5-8A3B-E5FC6FD46C31}">
  <dimension ref="A1:K17"/>
  <sheetViews>
    <sheetView workbookViewId="0">
      <selection activeCell="H7" sqref="H7"/>
    </sheetView>
  </sheetViews>
  <sheetFormatPr defaultRowHeight="16.2" x14ac:dyDescent="0.3"/>
  <cols>
    <col min="1" max="1" width="10" style="2" customWidth="1"/>
    <col min="2" max="2" width="17.5" style="6" bestFit="1" customWidth="1"/>
    <col min="3" max="3" width="11.375" style="6" customWidth="1"/>
    <col min="4" max="4" width="12.625" style="21" customWidth="1"/>
    <col min="5" max="7" width="15" style="21" customWidth="1"/>
    <col min="8" max="8" width="13.125" style="6" customWidth="1"/>
    <col min="9" max="10" width="13.625" style="6" customWidth="1"/>
    <col min="11" max="11" width="15.5" style="6" customWidth="1"/>
    <col min="12" max="16384" width="9" style="6"/>
  </cols>
  <sheetData>
    <row r="1" spans="1:11" x14ac:dyDescent="0.3">
      <c r="A1" s="15" t="s">
        <v>11</v>
      </c>
      <c r="B1" s="30">
        <v>10000000</v>
      </c>
    </row>
    <row r="2" spans="1:11" x14ac:dyDescent="0.3">
      <c r="A2" s="15" t="s">
        <v>13</v>
      </c>
      <c r="B2" s="30">
        <v>500000</v>
      </c>
    </row>
    <row r="3" spans="1:11" x14ac:dyDescent="0.3">
      <c r="A3" s="15" t="s">
        <v>14</v>
      </c>
      <c r="B3" s="31">
        <v>0.02</v>
      </c>
    </row>
    <row r="4" spans="1:11" ht="16.8" thickBot="1" x14ac:dyDescent="0.35">
      <c r="E4" s="21">
        <f>SUM(E6:E17)</f>
        <v>6084357.7098663067</v>
      </c>
    </row>
    <row r="5" spans="1:11" s="2" customFormat="1" ht="33" thickBot="1" x14ac:dyDescent="0.35">
      <c r="A5" s="27" t="s">
        <v>0</v>
      </c>
      <c r="B5" s="27" t="s">
        <v>10</v>
      </c>
      <c r="C5" s="27" t="s">
        <v>2</v>
      </c>
      <c r="D5" s="28" t="s">
        <v>3</v>
      </c>
      <c r="E5" s="28" t="s">
        <v>9</v>
      </c>
      <c r="F5" s="28" t="s">
        <v>15</v>
      </c>
      <c r="G5" s="27" t="s">
        <v>17</v>
      </c>
      <c r="H5" s="27" t="s">
        <v>5</v>
      </c>
      <c r="I5" s="27" t="s">
        <v>6</v>
      </c>
      <c r="J5" s="27" t="s">
        <v>7</v>
      </c>
      <c r="K5" s="27" t="s">
        <v>8</v>
      </c>
    </row>
    <row r="6" spans="1:11" ht="16.8" thickBot="1" x14ac:dyDescent="0.35">
      <c r="A6" s="3">
        <v>2011</v>
      </c>
      <c r="B6" s="4">
        <v>22.14</v>
      </c>
      <c r="C6" s="4">
        <v>0</v>
      </c>
      <c r="D6" s="20">
        <v>0</v>
      </c>
      <c r="E6" s="20">
        <v>0</v>
      </c>
      <c r="F6" s="20"/>
      <c r="G6" s="20"/>
      <c r="H6" s="19">
        <v>0</v>
      </c>
      <c r="I6" s="19">
        <v>0</v>
      </c>
      <c r="J6" s="20">
        <f>B1/B6</f>
        <v>451671.18337850046</v>
      </c>
      <c r="K6" s="5">
        <f>B1</f>
        <v>10000000</v>
      </c>
    </row>
    <row r="7" spans="1:11" ht="16.8" thickBot="1" x14ac:dyDescent="0.35">
      <c r="A7" s="3">
        <v>2012</v>
      </c>
      <c r="B7" s="4">
        <v>24.4</v>
      </c>
      <c r="C7" s="4">
        <v>1.3</v>
      </c>
      <c r="D7" s="20">
        <f>J6*C7</f>
        <v>587172.53839205066</v>
      </c>
      <c r="E7" s="20">
        <f>B2</f>
        <v>500000</v>
      </c>
      <c r="F7" s="33">
        <f>D7-E7</f>
        <v>87172.538392050657</v>
      </c>
      <c r="G7" s="33">
        <f>F7/(B7-C7)</f>
        <v>3773.702960694834</v>
      </c>
      <c r="H7" s="20">
        <v>3774</v>
      </c>
      <c r="I7" s="20">
        <v>0</v>
      </c>
      <c r="J7" s="20">
        <f>J6+G7</f>
        <v>455444.88633919531</v>
      </c>
      <c r="K7" s="5">
        <f>J7*(B7-C7)</f>
        <v>10520776.87443541</v>
      </c>
    </row>
    <row r="8" spans="1:11" ht="16.8" thickBot="1" x14ac:dyDescent="0.35">
      <c r="A8" s="3">
        <v>2013</v>
      </c>
      <c r="B8" s="4">
        <v>24.18</v>
      </c>
      <c r="C8" s="4">
        <v>0.85</v>
      </c>
      <c r="D8" s="20">
        <f t="shared" ref="D8:D17" si="0">J7*C8</f>
        <v>387128.15338831599</v>
      </c>
      <c r="E8" s="20">
        <f>E7*(1+$B$3)</f>
        <v>510000</v>
      </c>
      <c r="F8" s="33">
        <f t="shared" ref="F8:F17" si="1">D8-E8</f>
        <v>-122871.84661168401</v>
      </c>
      <c r="G8" s="33">
        <f t="shared" ref="G8:G17" si="2">F8/(B8-C8)</f>
        <v>-5266.688667453237</v>
      </c>
      <c r="H8" s="20">
        <v>0</v>
      </c>
      <c r="I8" s="20">
        <v>5267</v>
      </c>
      <c r="J8" s="20">
        <f t="shared" ref="J8:J17" si="3">J7+G8</f>
        <v>450178.19767174206</v>
      </c>
      <c r="K8" s="5">
        <f t="shared" ref="K8:K17" si="4">J8*(B8-C8)</f>
        <v>10502657.351681741</v>
      </c>
    </row>
    <row r="9" spans="1:11" ht="16.8" thickBot="1" x14ac:dyDescent="0.35">
      <c r="A9" s="3">
        <v>2014</v>
      </c>
      <c r="B9" s="4">
        <v>23.96</v>
      </c>
      <c r="C9" s="4">
        <v>1</v>
      </c>
      <c r="D9" s="20">
        <f t="shared" si="0"/>
        <v>450178.19767174206</v>
      </c>
      <c r="E9" s="20">
        <f t="shared" ref="E9:E17" si="5">E8*(1+$B$3)</f>
        <v>520200</v>
      </c>
      <c r="F9" s="33">
        <f t="shared" si="1"/>
        <v>-70021.802328257938</v>
      </c>
      <c r="G9" s="33">
        <f t="shared" si="2"/>
        <v>-3049.7300665617568</v>
      </c>
      <c r="H9" s="20">
        <v>0</v>
      </c>
      <c r="I9" s="20">
        <v>3050</v>
      </c>
      <c r="J9" s="20">
        <f t="shared" si="3"/>
        <v>447128.46760518028</v>
      </c>
      <c r="K9" s="5">
        <f t="shared" si="4"/>
        <v>10266069.61621494</v>
      </c>
    </row>
    <row r="10" spans="1:11" ht="16.8" thickBot="1" x14ac:dyDescent="0.35">
      <c r="A10" s="3">
        <v>2015</v>
      </c>
      <c r="B10" s="4">
        <v>22.65</v>
      </c>
      <c r="C10" s="4">
        <v>1</v>
      </c>
      <c r="D10" s="20">
        <f t="shared" si="0"/>
        <v>447128.46760518028</v>
      </c>
      <c r="E10" s="20">
        <f t="shared" si="5"/>
        <v>530604</v>
      </c>
      <c r="F10" s="33">
        <f t="shared" si="1"/>
        <v>-83475.532394819718</v>
      </c>
      <c r="G10" s="33">
        <f t="shared" si="2"/>
        <v>-3855.6827895990637</v>
      </c>
      <c r="H10" s="20">
        <v>0</v>
      </c>
      <c r="I10" s="20">
        <v>3856</v>
      </c>
      <c r="J10" s="20">
        <f t="shared" si="3"/>
        <v>443272.78481558122</v>
      </c>
      <c r="K10" s="5">
        <f t="shared" si="4"/>
        <v>9596855.791257333</v>
      </c>
    </row>
    <row r="11" spans="1:11" ht="16.8" thickBot="1" x14ac:dyDescent="0.35">
      <c r="A11" s="3">
        <v>2016</v>
      </c>
      <c r="B11" s="4">
        <v>25.35</v>
      </c>
      <c r="C11" s="4">
        <v>1.3</v>
      </c>
      <c r="D11" s="20">
        <f t="shared" si="0"/>
        <v>576254.62026025564</v>
      </c>
      <c r="E11" s="20">
        <f t="shared" si="5"/>
        <v>541216.07999999996</v>
      </c>
      <c r="F11" s="33">
        <f t="shared" si="1"/>
        <v>35038.540260255686</v>
      </c>
      <c r="G11" s="33">
        <f t="shared" si="2"/>
        <v>1456.9039609253923</v>
      </c>
      <c r="H11" s="20">
        <v>1457</v>
      </c>
      <c r="I11" s="20">
        <v>0</v>
      </c>
      <c r="J11" s="20">
        <f t="shared" si="3"/>
        <v>444729.68877650663</v>
      </c>
      <c r="K11" s="5">
        <f t="shared" si="4"/>
        <v>10695749.015074985</v>
      </c>
    </row>
    <row r="12" spans="1:11" ht="16.8" thickBot="1" x14ac:dyDescent="0.35">
      <c r="A12" s="3">
        <v>2017</v>
      </c>
      <c r="B12" s="4">
        <v>26.39</v>
      </c>
      <c r="C12" s="4">
        <v>0.95</v>
      </c>
      <c r="D12" s="20">
        <f t="shared" si="0"/>
        <v>422493.20433768129</v>
      </c>
      <c r="E12" s="20">
        <f t="shared" si="5"/>
        <v>552040.40159999998</v>
      </c>
      <c r="F12" s="33">
        <f t="shared" si="1"/>
        <v>-129547.19726231869</v>
      </c>
      <c r="G12" s="33">
        <f t="shared" si="2"/>
        <v>-5092.2640433301367</v>
      </c>
      <c r="H12" s="20">
        <v>0</v>
      </c>
      <c r="I12" s="20">
        <v>5092</v>
      </c>
      <c r="J12" s="20">
        <f t="shared" si="3"/>
        <v>439637.42473317648</v>
      </c>
      <c r="K12" s="5">
        <f t="shared" si="4"/>
        <v>11184376.085212011</v>
      </c>
    </row>
    <row r="13" spans="1:11" ht="16.8" thickBot="1" x14ac:dyDescent="0.35">
      <c r="A13" s="3">
        <v>2018</v>
      </c>
      <c r="B13" s="4">
        <v>25.81</v>
      </c>
      <c r="C13" s="4">
        <v>1.45</v>
      </c>
      <c r="D13" s="20">
        <f t="shared" si="0"/>
        <v>637474.26586310589</v>
      </c>
      <c r="E13" s="20">
        <f t="shared" si="5"/>
        <v>563081.20963199995</v>
      </c>
      <c r="F13" s="33">
        <f t="shared" si="1"/>
        <v>74393.056231105933</v>
      </c>
      <c r="G13" s="33">
        <f t="shared" si="2"/>
        <v>3053.9021441340697</v>
      </c>
      <c r="H13" s="20">
        <v>3054</v>
      </c>
      <c r="I13" s="20">
        <v>0</v>
      </c>
      <c r="J13" s="20">
        <f t="shared" si="3"/>
        <v>442691.32687731052</v>
      </c>
      <c r="K13" s="5">
        <f t="shared" si="4"/>
        <v>10783960.722731285</v>
      </c>
    </row>
    <row r="14" spans="1:11" ht="16.8" thickBot="1" x14ac:dyDescent="0.35">
      <c r="A14" s="3">
        <v>2019</v>
      </c>
      <c r="B14" s="4">
        <v>29.03</v>
      </c>
      <c r="C14" s="4">
        <v>1.8</v>
      </c>
      <c r="D14" s="20">
        <f t="shared" si="0"/>
        <v>796844.38837915892</v>
      </c>
      <c r="E14" s="20">
        <f t="shared" si="5"/>
        <v>574342.83382463991</v>
      </c>
      <c r="F14" s="33">
        <f t="shared" si="1"/>
        <v>222501.55455451901</v>
      </c>
      <c r="G14" s="33">
        <f t="shared" si="2"/>
        <v>8171.1918675915904</v>
      </c>
      <c r="H14" s="20">
        <v>8171</v>
      </c>
      <c r="I14" s="20">
        <v>0</v>
      </c>
      <c r="J14" s="20">
        <f t="shared" si="3"/>
        <v>450862.5187449021</v>
      </c>
      <c r="K14" s="5">
        <f t="shared" si="4"/>
        <v>12276986.385423684</v>
      </c>
    </row>
    <row r="15" spans="1:11" ht="16.8" thickBot="1" x14ac:dyDescent="0.35">
      <c r="A15" s="3">
        <v>2020</v>
      </c>
      <c r="B15" s="4">
        <v>29.69</v>
      </c>
      <c r="C15" s="4">
        <v>1.6</v>
      </c>
      <c r="D15" s="20">
        <f t="shared" si="0"/>
        <v>721380.02999184339</v>
      </c>
      <c r="E15" s="20">
        <f t="shared" si="5"/>
        <v>585829.69050113275</v>
      </c>
      <c r="F15" s="33">
        <f t="shared" si="1"/>
        <v>135550.33949071064</v>
      </c>
      <c r="G15" s="33">
        <f t="shared" si="2"/>
        <v>4825.5727835781645</v>
      </c>
      <c r="H15" s="20">
        <v>4826</v>
      </c>
      <c r="I15" s="20">
        <v>0</v>
      </c>
      <c r="J15" s="20">
        <f t="shared" si="3"/>
        <v>455688.09152848029</v>
      </c>
      <c r="K15" s="5">
        <f t="shared" si="4"/>
        <v>12800278.491035011</v>
      </c>
    </row>
    <row r="16" spans="1:11" ht="16.8" thickBot="1" x14ac:dyDescent="0.35">
      <c r="A16" s="3">
        <v>2021</v>
      </c>
      <c r="B16" s="4">
        <v>32.4</v>
      </c>
      <c r="C16" s="4">
        <v>1.8</v>
      </c>
      <c r="D16" s="20">
        <f t="shared" si="0"/>
        <v>820238.56475126452</v>
      </c>
      <c r="E16" s="20">
        <f t="shared" si="5"/>
        <v>597546.28431115544</v>
      </c>
      <c r="F16" s="33">
        <f t="shared" si="1"/>
        <v>222692.28044010908</v>
      </c>
      <c r="G16" s="33">
        <f t="shared" si="2"/>
        <v>7277.5255045787289</v>
      </c>
      <c r="H16" s="20">
        <v>7278</v>
      </c>
      <c r="I16" s="20">
        <v>0</v>
      </c>
      <c r="J16" s="20">
        <f t="shared" si="3"/>
        <v>462965.61703305901</v>
      </c>
      <c r="K16" s="5">
        <f t="shared" si="4"/>
        <v>14166747.881211605</v>
      </c>
    </row>
    <row r="17" spans="1:11" ht="16.8" thickBot="1" x14ac:dyDescent="0.35">
      <c r="A17" s="3">
        <v>2022</v>
      </c>
      <c r="B17" s="4">
        <v>25.84</v>
      </c>
      <c r="C17" s="4">
        <v>2.1</v>
      </c>
      <c r="D17" s="20">
        <f t="shared" si="0"/>
        <v>972227.79576942394</v>
      </c>
      <c r="E17" s="20">
        <f t="shared" si="5"/>
        <v>609497.20999737852</v>
      </c>
      <c r="F17" s="33">
        <f t="shared" si="1"/>
        <v>362730.58577204542</v>
      </c>
      <c r="G17" s="33">
        <f t="shared" si="2"/>
        <v>15279.300158889868</v>
      </c>
      <c r="H17" s="20">
        <v>15279</v>
      </c>
      <c r="I17" s="20">
        <v>0</v>
      </c>
      <c r="J17" s="20">
        <f t="shared" si="3"/>
        <v>478244.91719194886</v>
      </c>
      <c r="K17" s="5">
        <f t="shared" si="4"/>
        <v>11353534.334136866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44F4-8E06-42AF-BE42-67F19EA8AB97}">
  <dimension ref="A1:K23"/>
  <sheetViews>
    <sheetView topLeftCell="A5" workbookViewId="0">
      <selection activeCell="K21" sqref="K21"/>
    </sheetView>
  </sheetViews>
  <sheetFormatPr defaultRowHeight="16.2" x14ac:dyDescent="0.3"/>
  <cols>
    <col min="1" max="1" width="10" style="2" customWidth="1"/>
    <col min="2" max="2" width="17.5" style="6" bestFit="1" customWidth="1"/>
    <col min="3" max="3" width="11.375" style="6" customWidth="1"/>
    <col min="4" max="4" width="12.625" style="21" customWidth="1"/>
    <col min="5" max="7" width="16" style="21" customWidth="1"/>
    <col min="8" max="8" width="13.125" style="6" customWidth="1"/>
    <col min="9" max="10" width="13.625" style="21" customWidth="1"/>
    <col min="11" max="11" width="15.5" style="6" customWidth="1"/>
    <col min="12" max="16384" width="9" style="6"/>
  </cols>
  <sheetData>
    <row r="1" spans="1:11" x14ac:dyDescent="0.3">
      <c r="A1" s="15" t="s">
        <v>11</v>
      </c>
      <c r="B1" s="30">
        <v>10000000</v>
      </c>
    </row>
    <row r="2" spans="1:11" x14ac:dyDescent="0.3">
      <c r="A2" s="15" t="s">
        <v>13</v>
      </c>
      <c r="B2" s="30">
        <v>500000</v>
      </c>
    </row>
    <row r="3" spans="1:11" x14ac:dyDescent="0.3">
      <c r="A3" s="15" t="s">
        <v>14</v>
      </c>
      <c r="B3" s="31">
        <v>0.02</v>
      </c>
    </row>
    <row r="4" spans="1:11" ht="16.8" thickBot="1" x14ac:dyDescent="0.35">
      <c r="E4" s="21">
        <f>SUM(E6:E23)</f>
        <v>6084357</v>
      </c>
    </row>
    <row r="5" spans="1:11" s="2" customFormat="1" ht="33" thickBot="1" x14ac:dyDescent="0.35">
      <c r="A5" s="27" t="s">
        <v>0</v>
      </c>
      <c r="B5" s="27" t="s">
        <v>1</v>
      </c>
      <c r="C5" s="27" t="s">
        <v>2</v>
      </c>
      <c r="D5" s="28" t="s">
        <v>3</v>
      </c>
      <c r="E5" s="28" t="s">
        <v>9</v>
      </c>
      <c r="F5" s="28" t="s">
        <v>15</v>
      </c>
      <c r="G5" s="27" t="s">
        <v>17</v>
      </c>
      <c r="H5" s="27" t="s">
        <v>5</v>
      </c>
      <c r="I5" s="28" t="s">
        <v>6</v>
      </c>
      <c r="J5" s="28" t="s">
        <v>7</v>
      </c>
      <c r="K5" s="27" t="s">
        <v>8</v>
      </c>
    </row>
    <row r="6" spans="1:11" ht="16.8" thickBot="1" x14ac:dyDescent="0.35">
      <c r="A6" s="1">
        <v>2011</v>
      </c>
      <c r="B6" s="4">
        <v>49.81</v>
      </c>
      <c r="C6" s="4">
        <v>0</v>
      </c>
      <c r="D6" s="20">
        <v>0</v>
      </c>
      <c r="E6" s="20">
        <v>0</v>
      </c>
      <c r="F6" s="20"/>
      <c r="G6" s="20"/>
      <c r="H6" s="20">
        <v>0</v>
      </c>
      <c r="I6" s="20">
        <v>0</v>
      </c>
      <c r="J6" s="20">
        <f>B1/B6</f>
        <v>200762.8990162618</v>
      </c>
      <c r="K6" s="5">
        <f>B1</f>
        <v>10000000</v>
      </c>
    </row>
    <row r="7" spans="1:11" ht="16.8" thickBot="1" x14ac:dyDescent="0.35">
      <c r="A7" s="1">
        <v>2012</v>
      </c>
      <c r="B7" s="4">
        <v>52.9</v>
      </c>
      <c r="C7" s="4">
        <v>1.85</v>
      </c>
      <c r="D7" s="20">
        <v>371411</v>
      </c>
      <c r="E7" s="20">
        <v>500000</v>
      </c>
      <c r="F7" s="33">
        <f>D7-E7</f>
        <v>-128589</v>
      </c>
      <c r="G7" s="33">
        <f>F7/(B7-C7)</f>
        <v>-2518.8834476003917</v>
      </c>
      <c r="H7" s="20">
        <v>0</v>
      </c>
      <c r="I7" s="20">
        <v>2519</v>
      </c>
      <c r="J7" s="20">
        <f>J6+G7</f>
        <v>198244.01556866142</v>
      </c>
      <c r="K7" s="5">
        <f>J7*(B7-C7)</f>
        <v>10120356.994780164</v>
      </c>
    </row>
    <row r="8" spans="1:11" ht="16.8" thickBot="1" x14ac:dyDescent="0.35">
      <c r="A8" s="1">
        <v>2013</v>
      </c>
      <c r="B8" s="4">
        <v>58.7</v>
      </c>
      <c r="C8" s="4">
        <v>1.35</v>
      </c>
      <c r="D8" s="20">
        <v>267629</v>
      </c>
      <c r="E8" s="20">
        <v>510000</v>
      </c>
      <c r="F8" s="33">
        <f t="shared" ref="F8:F23" si="0">D8-E8</f>
        <v>-242371</v>
      </c>
      <c r="G8" s="33">
        <f t="shared" ref="G8:G23" si="1">F8/(B8-C8)</f>
        <v>-4226.1726242371406</v>
      </c>
      <c r="H8" s="20">
        <v>0</v>
      </c>
      <c r="I8" s="20">
        <v>8688</v>
      </c>
      <c r="J8" s="20">
        <f t="shared" ref="J8:J23" si="2">J7+G8</f>
        <v>194017.84294442428</v>
      </c>
      <c r="K8" s="5">
        <f t="shared" ref="K8:K23" si="3">J8*(B8-C8)</f>
        <v>11126923.292862732</v>
      </c>
    </row>
    <row r="9" spans="1:11" ht="16.8" thickBot="1" x14ac:dyDescent="0.35">
      <c r="A9" s="1">
        <v>2014</v>
      </c>
      <c r="B9" s="4">
        <v>65.05</v>
      </c>
      <c r="C9" s="4">
        <v>1.55</v>
      </c>
      <c r="D9" s="20">
        <v>293811</v>
      </c>
      <c r="E9" s="20">
        <v>520200</v>
      </c>
      <c r="F9" s="33">
        <f t="shared" si="0"/>
        <v>-226389</v>
      </c>
      <c r="G9" s="33">
        <f t="shared" si="1"/>
        <v>-3565.1811023622049</v>
      </c>
      <c r="H9" s="20">
        <v>0</v>
      </c>
      <c r="I9" s="20">
        <v>7997</v>
      </c>
      <c r="J9" s="20">
        <f t="shared" si="2"/>
        <v>190452.66184206208</v>
      </c>
      <c r="K9" s="5">
        <f t="shared" si="3"/>
        <v>12093744.026970942</v>
      </c>
    </row>
    <row r="10" spans="1:11" ht="16.8" thickBot="1" x14ac:dyDescent="0.35">
      <c r="A10" s="1">
        <v>2015</v>
      </c>
      <c r="B10" s="4">
        <v>65.900000000000006</v>
      </c>
      <c r="C10" s="4">
        <v>2</v>
      </c>
      <c r="D10" s="20">
        <v>363118</v>
      </c>
      <c r="E10" s="20">
        <v>530604</v>
      </c>
      <c r="F10" s="33">
        <f t="shared" si="0"/>
        <v>-167486</v>
      </c>
      <c r="G10" s="33">
        <f t="shared" si="1"/>
        <v>-2621.0641627543032</v>
      </c>
      <c r="H10" s="20">
        <v>0</v>
      </c>
      <c r="I10" s="20">
        <v>2621</v>
      </c>
      <c r="J10" s="20">
        <f t="shared" si="2"/>
        <v>187831.59767930777</v>
      </c>
      <c r="K10" s="5">
        <f t="shared" si="3"/>
        <v>12002439.091707768</v>
      </c>
    </row>
    <row r="11" spans="1:11" ht="16.8" thickBot="1" x14ac:dyDescent="0.35">
      <c r="A11" s="1">
        <v>2016</v>
      </c>
      <c r="B11" s="4">
        <v>69.7</v>
      </c>
      <c r="C11" s="4">
        <v>0.85</v>
      </c>
      <c r="D11" s="20">
        <v>152097</v>
      </c>
      <c r="E11" s="20">
        <v>541216</v>
      </c>
      <c r="F11" s="33">
        <f t="shared" si="0"/>
        <v>-389119</v>
      </c>
      <c r="G11" s="33">
        <f t="shared" si="1"/>
        <v>-5651.6920842411027</v>
      </c>
      <c r="H11" s="20">
        <v>0</v>
      </c>
      <c r="I11" s="20">
        <v>5652</v>
      </c>
      <c r="J11" s="20">
        <f t="shared" si="2"/>
        <v>182179.90559506667</v>
      </c>
      <c r="K11" s="5">
        <f t="shared" si="3"/>
        <v>12543086.500220342</v>
      </c>
    </row>
    <row r="12" spans="1:11" ht="16.8" thickBot="1" x14ac:dyDescent="0.35">
      <c r="A12" s="16">
        <v>2017</v>
      </c>
      <c r="B12" s="8">
        <v>73.3</v>
      </c>
      <c r="C12" s="8">
        <v>1.7</v>
      </c>
      <c r="D12" s="24">
        <v>294586</v>
      </c>
      <c r="E12" s="24">
        <v>0</v>
      </c>
      <c r="F12" s="33">
        <f t="shared" si="0"/>
        <v>294586</v>
      </c>
      <c r="G12" s="33">
        <f t="shared" si="1"/>
        <v>4114.3296089385476</v>
      </c>
      <c r="H12" s="20">
        <v>4114</v>
      </c>
      <c r="I12" s="20">
        <v>0</v>
      </c>
      <c r="J12" s="20">
        <f t="shared" si="2"/>
        <v>186294.23520400521</v>
      </c>
      <c r="K12" s="5">
        <f t="shared" si="3"/>
        <v>13338667.240606772</v>
      </c>
    </row>
    <row r="13" spans="1:11" ht="16.8" thickBot="1" x14ac:dyDescent="0.35">
      <c r="A13" s="18"/>
      <c r="B13" s="13">
        <v>82.1</v>
      </c>
      <c r="C13" s="13">
        <v>0.7</v>
      </c>
      <c r="D13" s="26">
        <v>124180</v>
      </c>
      <c r="E13" s="26">
        <v>552040</v>
      </c>
      <c r="F13" s="33">
        <f t="shared" si="0"/>
        <v>-427860</v>
      </c>
      <c r="G13" s="33">
        <f t="shared" si="1"/>
        <v>-5256.2653562653568</v>
      </c>
      <c r="H13" s="20">
        <v>0</v>
      </c>
      <c r="I13" s="20">
        <v>5256</v>
      </c>
      <c r="J13" s="20">
        <f t="shared" si="2"/>
        <v>181037.96984773985</v>
      </c>
      <c r="K13" s="5">
        <f t="shared" si="3"/>
        <v>14736490.745606022</v>
      </c>
    </row>
    <row r="14" spans="1:11" ht="16.8" thickBot="1" x14ac:dyDescent="0.35">
      <c r="A14" s="16">
        <v>2018</v>
      </c>
      <c r="B14" s="8">
        <v>87.5</v>
      </c>
      <c r="C14" s="8">
        <v>2.2000000000000002</v>
      </c>
      <c r="D14" s="24">
        <v>378717</v>
      </c>
      <c r="E14" s="24">
        <v>0</v>
      </c>
      <c r="F14" s="33">
        <f t="shared" si="0"/>
        <v>378717</v>
      </c>
      <c r="G14" s="33">
        <f t="shared" si="1"/>
        <v>4439.8241500586164</v>
      </c>
      <c r="H14" s="20">
        <v>4440</v>
      </c>
      <c r="I14" s="20">
        <v>0</v>
      </c>
      <c r="J14" s="20">
        <f t="shared" si="2"/>
        <v>185477.79399779846</v>
      </c>
      <c r="K14" s="5">
        <f t="shared" si="3"/>
        <v>15821255.828012209</v>
      </c>
    </row>
    <row r="15" spans="1:11" ht="16.8" thickBot="1" x14ac:dyDescent="0.35">
      <c r="A15" s="18"/>
      <c r="B15" s="13">
        <v>84.65</v>
      </c>
      <c r="C15" s="13">
        <v>0.7</v>
      </c>
      <c r="D15" s="26">
        <v>123609</v>
      </c>
      <c r="E15" s="26">
        <v>563081</v>
      </c>
      <c r="F15" s="33">
        <f t="shared" si="0"/>
        <v>-439472</v>
      </c>
      <c r="G15" s="33">
        <f t="shared" si="1"/>
        <v>-5234.925550923168</v>
      </c>
      <c r="H15" s="20">
        <v>0</v>
      </c>
      <c r="I15" s="20">
        <v>5235</v>
      </c>
      <c r="J15" s="20">
        <f t="shared" si="2"/>
        <v>180242.86844687531</v>
      </c>
      <c r="K15" s="5">
        <f t="shared" si="3"/>
        <v>15131388.806115182</v>
      </c>
    </row>
    <row r="16" spans="1:11" ht="16.8" thickBot="1" x14ac:dyDescent="0.35">
      <c r="A16" s="16">
        <v>2019</v>
      </c>
      <c r="B16" s="8">
        <v>76.5</v>
      </c>
      <c r="C16" s="8">
        <v>2.2999999999999998</v>
      </c>
      <c r="D16" s="24">
        <v>394103</v>
      </c>
      <c r="E16" s="24">
        <v>0</v>
      </c>
      <c r="F16" s="33">
        <f t="shared" si="0"/>
        <v>394103</v>
      </c>
      <c r="G16" s="33">
        <f t="shared" si="1"/>
        <v>5311.3611859838275</v>
      </c>
      <c r="H16" s="20">
        <v>5311</v>
      </c>
      <c r="I16" s="20">
        <v>0</v>
      </c>
      <c r="J16" s="20">
        <f t="shared" si="2"/>
        <v>185554.22963285912</v>
      </c>
      <c r="K16" s="5">
        <f t="shared" si="3"/>
        <v>13768123.838758146</v>
      </c>
    </row>
    <row r="17" spans="1:11" ht="16.8" thickBot="1" x14ac:dyDescent="0.35">
      <c r="A17" s="18"/>
      <c r="B17" s="13">
        <v>82.7</v>
      </c>
      <c r="C17" s="13">
        <v>0.7</v>
      </c>
      <c r="D17" s="26">
        <v>123662</v>
      </c>
      <c r="E17" s="26">
        <v>574343</v>
      </c>
      <c r="F17" s="33">
        <f t="shared" si="0"/>
        <v>-450681</v>
      </c>
      <c r="G17" s="33">
        <f t="shared" si="1"/>
        <v>-5496.1097560975613</v>
      </c>
      <c r="H17" s="20">
        <v>0</v>
      </c>
      <c r="I17" s="20">
        <v>5496</v>
      </c>
      <c r="J17" s="20">
        <f t="shared" si="2"/>
        <v>180058.11987676157</v>
      </c>
      <c r="K17" s="5">
        <f t="shared" si="3"/>
        <v>14764765.82989445</v>
      </c>
    </row>
    <row r="18" spans="1:11" ht="16.8" thickBot="1" x14ac:dyDescent="0.35">
      <c r="A18" s="16">
        <v>2020</v>
      </c>
      <c r="B18" s="8">
        <v>92.15</v>
      </c>
      <c r="C18" s="8">
        <v>2.9</v>
      </c>
      <c r="D18" s="24">
        <v>496376</v>
      </c>
      <c r="E18" s="24">
        <v>0</v>
      </c>
      <c r="F18" s="33">
        <f t="shared" si="0"/>
        <v>496376</v>
      </c>
      <c r="G18" s="33">
        <f t="shared" si="1"/>
        <v>5561.6358543417364</v>
      </c>
      <c r="H18" s="20">
        <v>5562</v>
      </c>
      <c r="I18" s="20">
        <v>0</v>
      </c>
      <c r="J18" s="20">
        <f t="shared" si="2"/>
        <v>185619.7557311033</v>
      </c>
      <c r="K18" s="5">
        <f t="shared" si="3"/>
        <v>16566563.19900097</v>
      </c>
    </row>
    <row r="19" spans="1:11" ht="16.8" thickBot="1" x14ac:dyDescent="0.35">
      <c r="A19" s="18"/>
      <c r="B19" s="13">
        <v>97.05</v>
      </c>
      <c r="C19" s="13">
        <v>0.7</v>
      </c>
      <c r="D19" s="26">
        <v>123708</v>
      </c>
      <c r="E19" s="26">
        <v>585830</v>
      </c>
      <c r="F19" s="33">
        <f t="shared" si="0"/>
        <v>-462122</v>
      </c>
      <c r="G19" s="33">
        <f t="shared" si="1"/>
        <v>-4796.2843798650756</v>
      </c>
      <c r="H19" s="20">
        <v>0</v>
      </c>
      <c r="I19" s="20">
        <v>4796</v>
      </c>
      <c r="J19" s="20">
        <f t="shared" si="2"/>
        <v>180823.47135123823</v>
      </c>
      <c r="K19" s="5">
        <f t="shared" si="3"/>
        <v>17422341.464691803</v>
      </c>
    </row>
    <row r="20" spans="1:11" ht="16.8" thickBot="1" x14ac:dyDescent="0.35">
      <c r="A20" s="16">
        <v>2021</v>
      </c>
      <c r="B20" s="8">
        <v>143</v>
      </c>
      <c r="C20" s="8">
        <v>3.05</v>
      </c>
      <c r="D20" s="24">
        <v>524385</v>
      </c>
      <c r="E20" s="24">
        <v>0</v>
      </c>
      <c r="F20" s="33">
        <f t="shared" si="0"/>
        <v>524385</v>
      </c>
      <c r="G20" s="33">
        <f t="shared" si="1"/>
        <v>3746.9453376205793</v>
      </c>
      <c r="H20" s="20">
        <v>3747</v>
      </c>
      <c r="I20" s="20">
        <v>0</v>
      </c>
      <c r="J20" s="20">
        <f t="shared" si="2"/>
        <v>184570.41668885882</v>
      </c>
      <c r="K20" s="5">
        <f t="shared" si="3"/>
        <v>25830629.815605789</v>
      </c>
    </row>
    <row r="21" spans="1:11" ht="16.8" thickBot="1" x14ac:dyDescent="0.35">
      <c r="A21" s="18"/>
      <c r="B21" s="13">
        <v>137.19999999999999</v>
      </c>
      <c r="C21" s="13">
        <v>0.35</v>
      </c>
      <c r="D21" s="26">
        <v>61487</v>
      </c>
      <c r="E21" s="26">
        <v>597546</v>
      </c>
      <c r="F21" s="33">
        <f t="shared" si="0"/>
        <v>-536059</v>
      </c>
      <c r="G21" s="33">
        <f t="shared" si="1"/>
        <v>-3917.1282426013886</v>
      </c>
      <c r="H21" s="20">
        <v>0</v>
      </c>
      <c r="I21" s="20">
        <v>3917</v>
      </c>
      <c r="J21" s="20">
        <f t="shared" si="2"/>
        <v>180653.28844625744</v>
      </c>
      <c r="K21" s="5">
        <f t="shared" si="3"/>
        <v>24722402.52387033</v>
      </c>
    </row>
    <row r="22" spans="1:11" ht="16.8" thickBot="1" x14ac:dyDescent="0.35">
      <c r="A22" s="16">
        <v>2022</v>
      </c>
      <c r="B22" s="8">
        <v>149.1</v>
      </c>
      <c r="C22" s="8">
        <v>3.2</v>
      </c>
      <c r="D22" s="24">
        <v>549630</v>
      </c>
      <c r="E22" s="24">
        <v>0</v>
      </c>
      <c r="F22" s="33">
        <f t="shared" si="0"/>
        <v>549630</v>
      </c>
      <c r="G22" s="33">
        <f t="shared" si="1"/>
        <v>3767.1692940370117</v>
      </c>
      <c r="H22" s="20">
        <v>3767</v>
      </c>
      <c r="I22" s="20">
        <v>0</v>
      </c>
      <c r="J22" s="20">
        <f t="shared" si="2"/>
        <v>184420.45774029446</v>
      </c>
      <c r="K22" s="5">
        <f t="shared" si="3"/>
        <v>26906944.784308963</v>
      </c>
    </row>
    <row r="23" spans="1:11" ht="16.8" thickBot="1" x14ac:dyDescent="0.35">
      <c r="A23" s="18"/>
      <c r="B23" s="13">
        <v>115.5</v>
      </c>
      <c r="C23" s="13">
        <v>1.8</v>
      </c>
      <c r="D23" s="26">
        <v>315948</v>
      </c>
      <c r="E23" s="26">
        <v>609497</v>
      </c>
      <c r="F23" s="33">
        <f t="shared" si="0"/>
        <v>-293549</v>
      </c>
      <c r="G23" s="33">
        <f t="shared" si="1"/>
        <v>-2581.7854001759015</v>
      </c>
      <c r="H23" s="13">
        <v>0</v>
      </c>
      <c r="I23" s="20">
        <v>2582</v>
      </c>
      <c r="J23" s="20">
        <f t="shared" si="2"/>
        <v>181838.67234011856</v>
      </c>
      <c r="K23" s="5">
        <f t="shared" si="3"/>
        <v>20675057.045071479</v>
      </c>
    </row>
  </sheetData>
  <mergeCells count="6">
    <mergeCell ref="A12:A13"/>
    <mergeCell ref="A14:A15"/>
    <mergeCell ref="A16:A17"/>
    <mergeCell ref="A18:A19"/>
    <mergeCell ref="A20:A21"/>
    <mergeCell ref="A22:A2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E00A-6AC1-40EA-884C-81BEE0467FAA}">
  <dimension ref="A1:K32"/>
  <sheetViews>
    <sheetView topLeftCell="A4" workbookViewId="0">
      <selection activeCell="G24" sqref="G24"/>
    </sheetView>
  </sheetViews>
  <sheetFormatPr defaultRowHeight="16.2" x14ac:dyDescent="0.3"/>
  <cols>
    <col min="1" max="1" width="10" style="2" customWidth="1"/>
    <col min="2" max="2" width="16" style="6" customWidth="1"/>
    <col min="3" max="3" width="11.375" style="6" customWidth="1"/>
    <col min="4" max="4" width="12.625" style="21" customWidth="1"/>
    <col min="5" max="5" width="12.125" style="21" customWidth="1"/>
    <col min="6" max="6" width="13.125" style="6" customWidth="1"/>
    <col min="7" max="8" width="13.625" style="6" customWidth="1"/>
    <col min="9" max="9" width="15.5" style="6" customWidth="1"/>
    <col min="10" max="16384" width="9" style="6"/>
  </cols>
  <sheetData>
    <row r="1" spans="1:11" x14ac:dyDescent="0.3">
      <c r="A1" s="15" t="s">
        <v>11</v>
      </c>
      <c r="B1" s="30">
        <v>10000000</v>
      </c>
    </row>
    <row r="2" spans="1:11" x14ac:dyDescent="0.3">
      <c r="A2" s="15" t="s">
        <v>13</v>
      </c>
      <c r="B2" s="30">
        <v>500000</v>
      </c>
    </row>
    <row r="3" spans="1:11" x14ac:dyDescent="0.3">
      <c r="A3" s="15" t="s">
        <v>14</v>
      </c>
      <c r="B3" s="31">
        <v>0.02</v>
      </c>
    </row>
    <row r="4" spans="1:11" ht="16.8" thickBot="1" x14ac:dyDescent="0.35"/>
    <row r="5" spans="1:11" s="2" customFormat="1" ht="33" thickBot="1" x14ac:dyDescent="0.35">
      <c r="A5" s="27" t="s">
        <v>0</v>
      </c>
      <c r="B5" s="27" t="s">
        <v>1</v>
      </c>
      <c r="C5" s="27" t="s">
        <v>2</v>
      </c>
      <c r="D5" s="28" t="s">
        <v>3</v>
      </c>
      <c r="E5" s="28" t="s">
        <v>4</v>
      </c>
      <c r="F5" s="27" t="s">
        <v>5</v>
      </c>
      <c r="G5" s="27" t="s">
        <v>6</v>
      </c>
      <c r="H5" s="27" t="s">
        <v>7</v>
      </c>
      <c r="I5" s="27" t="s">
        <v>8</v>
      </c>
    </row>
    <row r="6" spans="1:11" ht="16.8" thickBot="1" x14ac:dyDescent="0.35">
      <c r="A6" s="3">
        <v>2008</v>
      </c>
      <c r="B6" s="4">
        <v>61.45</v>
      </c>
      <c r="C6" s="4">
        <v>0</v>
      </c>
      <c r="D6" s="20">
        <v>0</v>
      </c>
      <c r="E6" s="20">
        <v>0</v>
      </c>
      <c r="F6" s="4">
        <v>0</v>
      </c>
      <c r="G6" s="4">
        <v>0</v>
      </c>
      <c r="H6" s="4">
        <v>162734</v>
      </c>
      <c r="I6" s="5">
        <v>10000000</v>
      </c>
    </row>
    <row r="7" spans="1:11" ht="16.8" thickBot="1" x14ac:dyDescent="0.35">
      <c r="A7" s="3">
        <v>2009</v>
      </c>
      <c r="B7" s="4">
        <v>53.7</v>
      </c>
      <c r="C7" s="4">
        <v>1</v>
      </c>
      <c r="D7" s="20">
        <v>162734</v>
      </c>
      <c r="E7" s="20">
        <v>500000</v>
      </c>
      <c r="F7" s="4">
        <v>0</v>
      </c>
      <c r="G7" s="4">
        <v>6400</v>
      </c>
      <c r="H7" s="4">
        <v>156334</v>
      </c>
      <c r="I7" s="5">
        <v>8238812</v>
      </c>
    </row>
    <row r="8" spans="1:11" ht="16.8" thickBot="1" x14ac:dyDescent="0.35">
      <c r="A8" s="3">
        <v>2010</v>
      </c>
      <c r="B8" s="4">
        <v>57.1</v>
      </c>
      <c r="C8" s="4">
        <v>2.2000000000000002</v>
      </c>
      <c r="D8" s="20">
        <v>343935</v>
      </c>
      <c r="E8" s="20">
        <v>510000</v>
      </c>
      <c r="F8" s="4">
        <v>0</v>
      </c>
      <c r="G8" s="4">
        <v>3025</v>
      </c>
      <c r="H8" s="4">
        <v>153309</v>
      </c>
      <c r="I8" s="5">
        <v>8416682</v>
      </c>
    </row>
    <row r="9" spans="1:11" ht="16.8" thickBot="1" x14ac:dyDescent="0.35">
      <c r="A9" s="3">
        <v>2011</v>
      </c>
      <c r="B9" s="4">
        <v>53.6</v>
      </c>
      <c r="C9" s="4">
        <v>1.95</v>
      </c>
      <c r="D9" s="20">
        <v>298953</v>
      </c>
      <c r="E9" s="20">
        <v>520200</v>
      </c>
      <c r="F9" s="4">
        <v>0</v>
      </c>
      <c r="G9" s="4">
        <v>4284</v>
      </c>
      <c r="H9" s="4">
        <v>149026</v>
      </c>
      <c r="I9" s="5">
        <v>7996134</v>
      </c>
    </row>
    <row r="10" spans="1:11" ht="16.8" thickBot="1" x14ac:dyDescent="0.35">
      <c r="A10" s="3">
        <v>2012</v>
      </c>
      <c r="B10" s="4">
        <v>52.9</v>
      </c>
      <c r="C10" s="4">
        <v>1.85</v>
      </c>
      <c r="D10" s="20">
        <v>275698</v>
      </c>
      <c r="E10" s="20">
        <v>530604</v>
      </c>
      <c r="F10" s="4">
        <v>0</v>
      </c>
      <c r="G10" s="4">
        <v>4993</v>
      </c>
      <c r="H10" s="4">
        <v>144032</v>
      </c>
      <c r="I10" s="5">
        <v>7628556</v>
      </c>
    </row>
    <row r="11" spans="1:11" ht="16.8" thickBot="1" x14ac:dyDescent="0.35">
      <c r="A11" s="3">
        <v>2013</v>
      </c>
      <c r="B11" s="4">
        <v>58.7</v>
      </c>
      <c r="C11" s="4">
        <v>1.35</v>
      </c>
      <c r="D11" s="20">
        <v>194444</v>
      </c>
      <c r="E11" s="20">
        <v>541216</v>
      </c>
      <c r="F11" s="4">
        <v>0</v>
      </c>
      <c r="G11" s="4">
        <v>6047</v>
      </c>
      <c r="H11" s="4">
        <v>137986</v>
      </c>
      <c r="I11" s="5">
        <v>8107935</v>
      </c>
    </row>
    <row r="12" spans="1:11" ht="16.8" thickBot="1" x14ac:dyDescent="0.35">
      <c r="A12" s="3">
        <v>2014</v>
      </c>
      <c r="B12" s="4">
        <v>65.05</v>
      </c>
      <c r="C12" s="4">
        <v>1.55</v>
      </c>
      <c r="D12" s="20">
        <v>213878</v>
      </c>
      <c r="E12" s="20">
        <v>552040</v>
      </c>
      <c r="F12" s="4">
        <v>0</v>
      </c>
      <c r="G12" s="4">
        <v>5325</v>
      </c>
      <c r="H12" s="4">
        <v>132661</v>
      </c>
      <c r="I12" s="5">
        <v>8637820</v>
      </c>
    </row>
    <row r="13" spans="1:11" ht="16.8" thickBot="1" x14ac:dyDescent="0.35">
      <c r="A13" s="3">
        <v>2015</v>
      </c>
      <c r="B13" s="4">
        <v>65.900000000000006</v>
      </c>
      <c r="C13" s="4">
        <v>2</v>
      </c>
      <c r="D13" s="20">
        <v>265321</v>
      </c>
      <c r="E13" s="20">
        <v>563081</v>
      </c>
      <c r="F13" s="4">
        <v>0</v>
      </c>
      <c r="G13" s="4">
        <v>4660</v>
      </c>
      <c r="H13" s="4">
        <v>128001</v>
      </c>
      <c r="I13" s="5">
        <v>8444567</v>
      </c>
      <c r="K13" s="6">
        <f>I13/H13</f>
        <v>65.972664276060343</v>
      </c>
    </row>
    <row r="14" spans="1:11" ht="16.8" thickBot="1" x14ac:dyDescent="0.35">
      <c r="A14" s="3">
        <v>2016</v>
      </c>
      <c r="B14" s="4">
        <v>69.7</v>
      </c>
      <c r="C14" s="4">
        <v>0.85</v>
      </c>
      <c r="D14" s="20">
        <v>108801</v>
      </c>
      <c r="E14" s="20">
        <v>574343</v>
      </c>
      <c r="F14" s="4">
        <v>0</v>
      </c>
      <c r="G14" s="4">
        <v>6762</v>
      </c>
      <c r="H14" s="4">
        <v>121239</v>
      </c>
      <c r="I14" s="5">
        <v>8456108</v>
      </c>
    </row>
    <row r="15" spans="1:11" x14ac:dyDescent="0.3">
      <c r="A15" s="7">
        <v>2017</v>
      </c>
      <c r="B15" s="8">
        <v>73.3</v>
      </c>
      <c r="C15" s="8">
        <v>1.7</v>
      </c>
      <c r="D15" s="24">
        <v>206106</v>
      </c>
      <c r="E15" s="24">
        <v>0</v>
      </c>
      <c r="F15" s="8">
        <v>2879</v>
      </c>
      <c r="G15" s="8">
        <v>0</v>
      </c>
      <c r="H15" s="8">
        <v>124118</v>
      </c>
      <c r="I15" s="9">
        <v>9092927</v>
      </c>
    </row>
    <row r="16" spans="1:11" x14ac:dyDescent="0.3">
      <c r="A16" s="10"/>
      <c r="B16" s="11"/>
      <c r="C16" s="11"/>
      <c r="D16" s="25"/>
      <c r="E16" s="25"/>
      <c r="F16" s="11"/>
      <c r="G16" s="11"/>
      <c r="H16" s="11"/>
      <c r="I16" s="11"/>
    </row>
    <row r="17" spans="1:9" ht="16.8" thickBot="1" x14ac:dyDescent="0.35">
      <c r="A17" s="12"/>
      <c r="B17" s="13">
        <v>82.1</v>
      </c>
      <c r="C17" s="13">
        <v>0.7</v>
      </c>
      <c r="D17" s="26">
        <v>86882</v>
      </c>
      <c r="E17" s="26">
        <v>585830</v>
      </c>
      <c r="F17" s="13">
        <v>0</v>
      </c>
      <c r="G17" s="13">
        <v>6130</v>
      </c>
      <c r="H17" s="13">
        <v>117988</v>
      </c>
      <c r="I17" s="13">
        <v>9691109</v>
      </c>
    </row>
    <row r="18" spans="1:9" x14ac:dyDescent="0.3">
      <c r="A18" s="7">
        <v>2018</v>
      </c>
      <c r="B18" s="8">
        <v>87.5</v>
      </c>
      <c r="C18" s="8">
        <v>2.2000000000000002</v>
      </c>
      <c r="D18" s="24">
        <v>259574</v>
      </c>
      <c r="E18" s="24">
        <v>0</v>
      </c>
      <c r="F18" s="8">
        <v>3043</v>
      </c>
      <c r="G18" s="8">
        <v>0</v>
      </c>
      <c r="H18" s="8">
        <v>121031</v>
      </c>
      <c r="I18" s="9">
        <v>10583527</v>
      </c>
    </row>
    <row r="19" spans="1:9" x14ac:dyDescent="0.3">
      <c r="A19" s="10"/>
      <c r="B19" s="11"/>
      <c r="C19" s="11"/>
      <c r="D19" s="25"/>
      <c r="E19" s="25"/>
      <c r="F19" s="11"/>
      <c r="G19" s="11"/>
      <c r="H19" s="11"/>
      <c r="I19" s="11"/>
    </row>
    <row r="20" spans="1:9" ht="16.8" thickBot="1" x14ac:dyDescent="0.35">
      <c r="A20" s="12"/>
      <c r="B20" s="13">
        <v>84.65</v>
      </c>
      <c r="C20" s="13">
        <v>0.7</v>
      </c>
      <c r="D20" s="26">
        <v>84722</v>
      </c>
      <c r="E20" s="26">
        <v>597546</v>
      </c>
      <c r="F20" s="13">
        <v>0</v>
      </c>
      <c r="G20" s="13">
        <v>6109</v>
      </c>
      <c r="H20" s="13">
        <v>114922</v>
      </c>
      <c r="I20" s="14">
        <v>9732459</v>
      </c>
    </row>
    <row r="21" spans="1:9" x14ac:dyDescent="0.3">
      <c r="A21" s="7">
        <v>2019</v>
      </c>
      <c r="B21" s="8">
        <v>76.5</v>
      </c>
      <c r="C21" s="8">
        <v>2.2999999999999998</v>
      </c>
      <c r="D21" s="24">
        <v>264322</v>
      </c>
      <c r="E21" s="24">
        <v>0</v>
      </c>
      <c r="F21" s="8">
        <v>3562</v>
      </c>
      <c r="G21" s="8">
        <v>0</v>
      </c>
      <c r="H21" s="8">
        <v>118485</v>
      </c>
      <c r="I21" s="9">
        <v>9055886</v>
      </c>
    </row>
    <row r="22" spans="1:9" x14ac:dyDescent="0.3">
      <c r="A22" s="10"/>
      <c r="B22" s="11"/>
      <c r="C22" s="11"/>
      <c r="D22" s="25"/>
      <c r="E22" s="25"/>
      <c r="F22" s="11"/>
      <c r="G22" s="11"/>
      <c r="H22" s="11"/>
      <c r="I22" s="11"/>
    </row>
    <row r="23" spans="1:9" ht="16.8" thickBot="1" x14ac:dyDescent="0.35">
      <c r="A23" s="12"/>
      <c r="B23" s="13">
        <v>82.7</v>
      </c>
      <c r="C23" s="13">
        <v>0.7</v>
      </c>
      <c r="D23" s="26">
        <v>82939</v>
      </c>
      <c r="E23" s="26">
        <v>609497</v>
      </c>
      <c r="F23" s="13">
        <v>0</v>
      </c>
      <c r="G23" s="13">
        <v>6421</v>
      </c>
      <c r="H23" s="13">
        <v>112063</v>
      </c>
      <c r="I23" s="14">
        <v>9272127</v>
      </c>
    </row>
    <row r="24" spans="1:9" x14ac:dyDescent="0.3">
      <c r="A24" s="7">
        <v>2020</v>
      </c>
      <c r="B24" s="8">
        <v>92.15</v>
      </c>
      <c r="C24" s="8">
        <v>2.9</v>
      </c>
      <c r="D24" s="24">
        <v>324983</v>
      </c>
      <c r="E24" s="24">
        <v>0</v>
      </c>
      <c r="F24" s="8">
        <v>3641</v>
      </c>
      <c r="G24" s="8">
        <v>0</v>
      </c>
      <c r="H24" s="8">
        <v>115705</v>
      </c>
      <c r="I24" s="9">
        <v>10651613</v>
      </c>
    </row>
    <row r="25" spans="1:9" x14ac:dyDescent="0.3">
      <c r="A25" s="10"/>
      <c r="B25" s="11"/>
      <c r="C25" s="11"/>
      <c r="D25" s="25"/>
      <c r="E25" s="25"/>
      <c r="F25" s="11"/>
      <c r="G25" s="11"/>
      <c r="H25" s="11"/>
      <c r="I25" s="11"/>
    </row>
    <row r="26" spans="1:9" ht="16.8" thickBot="1" x14ac:dyDescent="0.35">
      <c r="A26" s="12"/>
      <c r="B26" s="13">
        <v>97.05</v>
      </c>
      <c r="C26" s="13">
        <v>0.7</v>
      </c>
      <c r="D26" s="26">
        <v>80993</v>
      </c>
      <c r="E26" s="26">
        <v>621687</v>
      </c>
      <c r="F26" s="13">
        <v>0</v>
      </c>
      <c r="G26" s="13">
        <v>5612</v>
      </c>
      <c r="H26" s="13">
        <v>110093</v>
      </c>
      <c r="I26" s="14">
        <v>10688431</v>
      </c>
    </row>
    <row r="27" spans="1:9" x14ac:dyDescent="0.3">
      <c r="A27" s="7">
        <v>2021</v>
      </c>
      <c r="B27" s="8">
        <v>143</v>
      </c>
      <c r="C27" s="8">
        <v>3.05</v>
      </c>
      <c r="D27" s="24">
        <v>335783</v>
      </c>
      <c r="E27" s="24">
        <v>0</v>
      </c>
      <c r="F27" s="8">
        <v>2399</v>
      </c>
      <c r="G27" s="8">
        <v>0</v>
      </c>
      <c r="H27" s="8">
        <v>112492</v>
      </c>
      <c r="I27" s="9">
        <v>16079048</v>
      </c>
    </row>
    <row r="28" spans="1:9" x14ac:dyDescent="0.3">
      <c r="A28" s="10"/>
      <c r="B28" s="11"/>
      <c r="C28" s="11"/>
      <c r="D28" s="25"/>
      <c r="E28" s="25"/>
      <c r="F28" s="11"/>
      <c r="G28" s="11"/>
      <c r="H28" s="11"/>
      <c r="I28" s="11"/>
    </row>
    <row r="29" spans="1:9" ht="16.8" thickBot="1" x14ac:dyDescent="0.35">
      <c r="A29" s="12"/>
      <c r="B29" s="13">
        <v>137.19999999999999</v>
      </c>
      <c r="C29" s="13">
        <v>0.35</v>
      </c>
      <c r="D29" s="26">
        <v>39372</v>
      </c>
      <c r="E29" s="26">
        <v>634121</v>
      </c>
      <c r="F29" s="13">
        <v>0</v>
      </c>
      <c r="G29" s="13">
        <v>4346</v>
      </c>
      <c r="H29" s="13">
        <v>108146</v>
      </c>
      <c r="I29" s="14">
        <v>14839163</v>
      </c>
    </row>
    <row r="30" spans="1:9" x14ac:dyDescent="0.3">
      <c r="A30" s="7">
        <v>2022</v>
      </c>
      <c r="B30" s="8">
        <v>149.1</v>
      </c>
      <c r="C30" s="8">
        <v>3.2</v>
      </c>
      <c r="D30" s="24">
        <v>346067</v>
      </c>
      <c r="E30" s="24">
        <v>0</v>
      </c>
      <c r="F30" s="8">
        <v>2372</v>
      </c>
      <c r="G30" s="8">
        <v>0</v>
      </c>
      <c r="H30" s="8">
        <v>110518</v>
      </c>
      <c r="I30" s="9">
        <v>16470648</v>
      </c>
    </row>
    <row r="31" spans="1:9" x14ac:dyDescent="0.3">
      <c r="A31" s="10"/>
      <c r="B31" s="11"/>
      <c r="C31" s="11"/>
      <c r="D31" s="25"/>
      <c r="E31" s="25"/>
      <c r="F31" s="11"/>
      <c r="G31" s="11"/>
      <c r="H31" s="11"/>
      <c r="I31" s="11"/>
    </row>
    <row r="32" spans="1:9" ht="16.8" thickBot="1" x14ac:dyDescent="0.35">
      <c r="A32" s="12"/>
      <c r="B32" s="13">
        <v>115.5</v>
      </c>
      <c r="C32" s="13">
        <v>1.8</v>
      </c>
      <c r="D32" s="26">
        <v>198932</v>
      </c>
      <c r="E32" s="26">
        <v>646803</v>
      </c>
      <c r="F32" s="13">
        <v>0</v>
      </c>
      <c r="G32" s="13">
        <v>3939</v>
      </c>
      <c r="H32" s="13">
        <v>106579</v>
      </c>
      <c r="I32" s="14">
        <v>12316962</v>
      </c>
    </row>
  </sheetData>
  <mergeCells count="6">
    <mergeCell ref="A30:A32"/>
    <mergeCell ref="A15:A17"/>
    <mergeCell ref="A18:A20"/>
    <mergeCell ref="A21:A23"/>
    <mergeCell ref="A24:A26"/>
    <mergeCell ref="A27:A29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8CC-11E1-4B97-BAEE-FBBD16EBA13A}">
  <dimension ref="A1:I20"/>
  <sheetViews>
    <sheetView topLeftCell="A4" workbookViewId="0">
      <selection activeCell="P7" sqref="P7"/>
    </sheetView>
  </sheetViews>
  <sheetFormatPr defaultRowHeight="16.2" x14ac:dyDescent="0.3"/>
  <cols>
    <col min="1" max="1" width="10.625" style="2" customWidth="1"/>
    <col min="2" max="2" width="16.625" style="6" customWidth="1"/>
    <col min="3" max="3" width="11.375" style="6" customWidth="1"/>
    <col min="4" max="4" width="12.625" style="23" customWidth="1"/>
    <col min="5" max="5" width="12.125" style="21" customWidth="1"/>
    <col min="6" max="6" width="13.125" style="21" customWidth="1"/>
    <col min="7" max="8" width="13.625" style="21" customWidth="1"/>
    <col min="9" max="9" width="15.5" style="6" customWidth="1"/>
    <col min="10" max="16384" width="9" style="6"/>
  </cols>
  <sheetData>
    <row r="1" spans="1:9" x14ac:dyDescent="0.3">
      <c r="A1" s="15" t="s">
        <v>11</v>
      </c>
      <c r="B1" s="30">
        <v>10000000</v>
      </c>
    </row>
    <row r="2" spans="1:9" x14ac:dyDescent="0.3">
      <c r="A2" s="15" t="s">
        <v>13</v>
      </c>
      <c r="B2" s="30">
        <v>500000</v>
      </c>
    </row>
    <row r="3" spans="1:9" x14ac:dyDescent="0.3">
      <c r="A3" s="15" t="s">
        <v>14</v>
      </c>
      <c r="B3" s="31">
        <v>0.02</v>
      </c>
    </row>
    <row r="4" spans="1:9" ht="16.8" thickBot="1" x14ac:dyDescent="0.35"/>
    <row r="5" spans="1:9" s="2" customFormat="1" ht="33" thickBot="1" x14ac:dyDescent="0.35">
      <c r="A5" s="27" t="s">
        <v>0</v>
      </c>
      <c r="B5" s="27" t="s">
        <v>10</v>
      </c>
      <c r="C5" s="27" t="s">
        <v>2</v>
      </c>
      <c r="D5" s="28" t="s">
        <v>3</v>
      </c>
      <c r="E5" s="28" t="s">
        <v>12</v>
      </c>
      <c r="F5" s="28" t="s">
        <v>5</v>
      </c>
      <c r="G5" s="28" t="s">
        <v>6</v>
      </c>
      <c r="H5" s="28" t="s">
        <v>7</v>
      </c>
      <c r="I5" s="27" t="s">
        <v>8</v>
      </c>
    </row>
    <row r="6" spans="1:9" ht="16.8" thickBot="1" x14ac:dyDescent="0.35">
      <c r="A6" s="3">
        <v>2008</v>
      </c>
      <c r="B6" s="4">
        <v>26.04</v>
      </c>
      <c r="C6" s="4">
        <v>0</v>
      </c>
      <c r="D6" s="22">
        <v>0</v>
      </c>
      <c r="E6" s="20">
        <v>0</v>
      </c>
      <c r="F6" s="20">
        <v>0</v>
      </c>
      <c r="G6" s="20">
        <v>0</v>
      </c>
      <c r="H6" s="20">
        <v>384025</v>
      </c>
      <c r="I6" s="5">
        <f>B1</f>
        <v>10000000</v>
      </c>
    </row>
    <row r="7" spans="1:9" ht="16.8" thickBot="1" x14ac:dyDescent="0.35">
      <c r="A7" s="3">
        <v>2009</v>
      </c>
      <c r="B7" s="4">
        <v>23.63</v>
      </c>
      <c r="C7" s="29">
        <v>2</v>
      </c>
      <c r="D7" s="22">
        <v>768049</v>
      </c>
      <c r="E7" s="20">
        <f>B2</f>
        <v>500000</v>
      </c>
      <c r="F7" s="20">
        <v>12392</v>
      </c>
      <c r="G7" s="20">
        <v>0</v>
      </c>
      <c r="H7" s="20">
        <v>396417</v>
      </c>
      <c r="I7" s="5">
        <v>8574501</v>
      </c>
    </row>
    <row r="8" spans="1:9" ht="16.8" thickBot="1" x14ac:dyDescent="0.35">
      <c r="A8" s="3">
        <v>2010</v>
      </c>
      <c r="B8" s="4">
        <v>26.2</v>
      </c>
      <c r="C8" s="4">
        <v>0</v>
      </c>
      <c r="D8" s="22">
        <v>0</v>
      </c>
      <c r="E8" s="20">
        <f>E7*(1+$B$3)</f>
        <v>510000</v>
      </c>
      <c r="F8" s="20">
        <v>0</v>
      </c>
      <c r="G8" s="20">
        <v>19466</v>
      </c>
      <c r="H8" s="20">
        <v>376951</v>
      </c>
      <c r="I8" s="5">
        <v>9876127</v>
      </c>
    </row>
    <row r="9" spans="1:9" ht="16.8" thickBot="1" x14ac:dyDescent="0.35">
      <c r="A9" s="3">
        <v>2011</v>
      </c>
      <c r="B9" s="4">
        <v>25.21</v>
      </c>
      <c r="C9" s="4">
        <v>2.2000000000000002</v>
      </c>
      <c r="D9" s="22">
        <v>829293</v>
      </c>
      <c r="E9" s="20">
        <f t="shared" ref="E9:E20" si="0">E8*(1+$B$3)</f>
        <v>520200</v>
      </c>
      <c r="F9" s="20">
        <v>13433</v>
      </c>
      <c r="G9" s="20">
        <v>0</v>
      </c>
      <c r="H9" s="20">
        <v>390384</v>
      </c>
      <c r="I9" s="5">
        <v>9812038</v>
      </c>
    </row>
    <row r="10" spans="1:9" ht="16.8" thickBot="1" x14ac:dyDescent="0.35">
      <c r="A10" s="3">
        <v>2012</v>
      </c>
      <c r="B10" s="4">
        <v>24.4</v>
      </c>
      <c r="C10" s="4">
        <v>1.3</v>
      </c>
      <c r="D10" s="22">
        <v>507500</v>
      </c>
      <c r="E10" s="20">
        <f t="shared" si="0"/>
        <v>530604</v>
      </c>
      <c r="F10" s="20">
        <v>0</v>
      </c>
      <c r="G10" s="20">
        <v>1000</v>
      </c>
      <c r="H10" s="20">
        <v>389384</v>
      </c>
      <c r="I10" s="5">
        <v>9502275</v>
      </c>
    </row>
    <row r="11" spans="1:9" ht="16.8" thickBot="1" x14ac:dyDescent="0.35">
      <c r="A11" s="3">
        <v>2013</v>
      </c>
      <c r="B11" s="4">
        <v>24.18</v>
      </c>
      <c r="C11" s="4">
        <v>0.85</v>
      </c>
      <c r="D11" s="22">
        <v>332677</v>
      </c>
      <c r="E11" s="20">
        <f t="shared" si="0"/>
        <v>541216.07999999996</v>
      </c>
      <c r="F11" s="20">
        <v>0</v>
      </c>
      <c r="G11" s="20">
        <v>8939</v>
      </c>
      <c r="H11" s="20">
        <v>382446</v>
      </c>
      <c r="I11" s="5">
        <v>9255140</v>
      </c>
    </row>
    <row r="12" spans="1:9" ht="16.8" thickBot="1" x14ac:dyDescent="0.35">
      <c r="A12" s="3">
        <v>2014</v>
      </c>
      <c r="B12" s="4">
        <v>23.96</v>
      </c>
      <c r="C12" s="4">
        <v>1</v>
      </c>
      <c r="D12" s="22">
        <v>382446</v>
      </c>
      <c r="E12" s="20">
        <f t="shared" si="0"/>
        <v>552040.40159999998</v>
      </c>
      <c r="F12" s="20">
        <v>0</v>
      </c>
      <c r="G12" s="20">
        <v>7387</v>
      </c>
      <c r="H12" s="20">
        <v>375059</v>
      </c>
      <c r="I12" s="4">
        <v>8993809</v>
      </c>
    </row>
    <row r="13" spans="1:9" ht="16.8" thickBot="1" x14ac:dyDescent="0.35">
      <c r="A13" s="3">
        <v>2015</v>
      </c>
      <c r="B13" s="4">
        <v>22.65</v>
      </c>
      <c r="C13" s="4">
        <v>1</v>
      </c>
      <c r="D13" s="22">
        <v>375059</v>
      </c>
      <c r="E13" s="20">
        <f t="shared" si="0"/>
        <v>563081.20963199995</v>
      </c>
      <c r="F13" s="20">
        <v>0</v>
      </c>
      <c r="G13" s="20">
        <v>8685</v>
      </c>
      <c r="H13" s="20">
        <v>366375</v>
      </c>
      <c r="I13" s="5">
        <v>8307073</v>
      </c>
    </row>
    <row r="14" spans="1:9" ht="16.8" thickBot="1" x14ac:dyDescent="0.35">
      <c r="A14" s="3">
        <v>2016</v>
      </c>
      <c r="B14" s="4">
        <v>25.35</v>
      </c>
      <c r="C14" s="4">
        <v>1.3</v>
      </c>
      <c r="D14" s="22">
        <v>476287</v>
      </c>
      <c r="E14" s="20">
        <f t="shared" si="0"/>
        <v>574342.83382463991</v>
      </c>
      <c r="F14" s="20">
        <v>0</v>
      </c>
      <c r="G14" s="20">
        <v>4077</v>
      </c>
      <c r="H14" s="20">
        <v>362298</v>
      </c>
      <c r="I14" s="5">
        <v>9189545</v>
      </c>
    </row>
    <row r="15" spans="1:9" ht="16.8" thickBot="1" x14ac:dyDescent="0.35">
      <c r="A15" s="3">
        <v>2017</v>
      </c>
      <c r="B15" s="4">
        <v>26.39</v>
      </c>
      <c r="C15" s="4">
        <v>0.95</v>
      </c>
      <c r="D15" s="22">
        <v>344183</v>
      </c>
      <c r="E15" s="20">
        <f t="shared" si="0"/>
        <v>585829.69050113275</v>
      </c>
      <c r="F15" s="20">
        <v>0</v>
      </c>
      <c r="G15" s="20">
        <v>9499</v>
      </c>
      <c r="H15" s="20">
        <v>352799</v>
      </c>
      <c r="I15" s="5">
        <v>9319387</v>
      </c>
    </row>
    <row r="16" spans="1:9" ht="16.8" thickBot="1" x14ac:dyDescent="0.35">
      <c r="A16" s="3">
        <v>2018</v>
      </c>
      <c r="B16" s="4">
        <v>25.81</v>
      </c>
      <c r="C16" s="4">
        <v>1.45</v>
      </c>
      <c r="D16" s="22">
        <v>511558</v>
      </c>
      <c r="E16" s="20">
        <f t="shared" si="0"/>
        <v>597546.28431115544</v>
      </c>
      <c r="F16" s="20">
        <v>0</v>
      </c>
      <c r="G16" s="20">
        <v>3530</v>
      </c>
      <c r="H16" s="20">
        <v>349269</v>
      </c>
      <c r="I16" s="5">
        <v>9019752</v>
      </c>
    </row>
    <row r="17" spans="1:9" ht="16.8" thickBot="1" x14ac:dyDescent="0.35">
      <c r="A17" s="3">
        <v>2019</v>
      </c>
      <c r="B17" s="4">
        <v>29.03</v>
      </c>
      <c r="C17" s="4">
        <v>1.8</v>
      </c>
      <c r="D17" s="22">
        <v>628684</v>
      </c>
      <c r="E17" s="20">
        <f t="shared" si="0"/>
        <v>609497.20999737852</v>
      </c>
      <c r="F17" s="20">
        <v>705</v>
      </c>
      <c r="G17" s="20">
        <v>0</v>
      </c>
      <c r="H17" s="20">
        <v>349974</v>
      </c>
      <c r="I17" s="5">
        <v>10158467</v>
      </c>
    </row>
    <row r="18" spans="1:9" ht="16.8" thickBot="1" x14ac:dyDescent="0.35">
      <c r="A18" s="3">
        <v>2020</v>
      </c>
      <c r="B18" s="4">
        <v>29.69</v>
      </c>
      <c r="C18" s="4">
        <v>1.6</v>
      </c>
      <c r="D18" s="22">
        <v>559958</v>
      </c>
      <c r="E18" s="20">
        <f t="shared" si="0"/>
        <v>621687.15419732605</v>
      </c>
      <c r="F18" s="20">
        <v>0</v>
      </c>
      <c r="G18" s="20">
        <v>2198</v>
      </c>
      <c r="H18" s="20">
        <v>347776</v>
      </c>
      <c r="I18" s="5">
        <v>10328989</v>
      </c>
    </row>
    <row r="19" spans="1:9" ht="16.8" thickBot="1" x14ac:dyDescent="0.35">
      <c r="A19" s="3">
        <v>2021</v>
      </c>
      <c r="B19" s="4">
        <v>32.4</v>
      </c>
      <c r="C19" s="4">
        <v>1.8</v>
      </c>
      <c r="D19" s="22">
        <v>625997</v>
      </c>
      <c r="E19" s="20">
        <f t="shared" si="0"/>
        <v>634120.89728127257</v>
      </c>
      <c r="F19" s="20">
        <v>0</v>
      </c>
      <c r="G19" s="20">
        <v>265</v>
      </c>
      <c r="H19" s="20">
        <v>347511</v>
      </c>
      <c r="I19" s="5">
        <v>11259822</v>
      </c>
    </row>
    <row r="20" spans="1:9" ht="16.8" thickBot="1" x14ac:dyDescent="0.35">
      <c r="A20" s="3">
        <v>2022</v>
      </c>
      <c r="B20" s="4">
        <v>25.84</v>
      </c>
      <c r="C20" s="4">
        <v>2.1</v>
      </c>
      <c r="D20" s="22">
        <v>729772</v>
      </c>
      <c r="E20" s="20">
        <f t="shared" si="0"/>
        <v>646803.31522689806</v>
      </c>
      <c r="F20" s="20">
        <v>3495</v>
      </c>
      <c r="G20" s="20">
        <v>0</v>
      </c>
      <c r="H20" s="20">
        <v>351006</v>
      </c>
      <c r="I20" s="5">
        <v>9062644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3C9B-5338-4171-B7E8-3BBFC2D03C84}">
  <dimension ref="A1:I13"/>
  <sheetViews>
    <sheetView workbookViewId="0">
      <selection sqref="A1:I1"/>
    </sheetView>
  </sheetViews>
  <sheetFormatPr defaultRowHeight="16.2" x14ac:dyDescent="0.3"/>
  <cols>
    <col min="1" max="1" width="10" style="2" customWidth="1"/>
    <col min="2" max="2" width="12.125" style="6" customWidth="1"/>
    <col min="3" max="3" width="11.375" style="6" customWidth="1"/>
    <col min="4" max="4" width="12.625" style="21" customWidth="1"/>
    <col min="5" max="5" width="12.125" style="21" customWidth="1"/>
    <col min="6" max="6" width="13.125" style="6" customWidth="1"/>
    <col min="7" max="8" width="13.625" style="6" customWidth="1"/>
    <col min="9" max="9" width="15.5" style="6" customWidth="1"/>
    <col min="10" max="16384" width="9" style="6"/>
  </cols>
  <sheetData>
    <row r="1" spans="1:9" s="2" customFormat="1" ht="33" thickBot="1" x14ac:dyDescent="0.35">
      <c r="A1" s="27" t="s">
        <v>0</v>
      </c>
      <c r="B1" s="27" t="s">
        <v>10</v>
      </c>
      <c r="C1" s="27" t="s">
        <v>2</v>
      </c>
      <c r="D1" s="28" t="s">
        <v>3</v>
      </c>
      <c r="E1" s="28" t="s">
        <v>4</v>
      </c>
      <c r="F1" s="27" t="s">
        <v>5</v>
      </c>
      <c r="G1" s="27" t="s">
        <v>6</v>
      </c>
      <c r="H1" s="27" t="s">
        <v>7</v>
      </c>
      <c r="I1" s="27" t="s">
        <v>8</v>
      </c>
    </row>
    <row r="2" spans="1:9" ht="16.8" thickBot="1" x14ac:dyDescent="0.35">
      <c r="A2" s="3">
        <v>2011</v>
      </c>
      <c r="B2" s="4">
        <v>22.14</v>
      </c>
      <c r="C2" s="4">
        <v>0</v>
      </c>
      <c r="D2" s="20">
        <v>0</v>
      </c>
      <c r="E2" s="20">
        <v>0</v>
      </c>
      <c r="F2" s="4">
        <v>0</v>
      </c>
      <c r="G2" s="4">
        <v>0</v>
      </c>
      <c r="H2" s="4">
        <v>451671</v>
      </c>
      <c r="I2" s="5">
        <v>10000000</v>
      </c>
    </row>
    <row r="3" spans="1:9" ht="16.8" thickBot="1" x14ac:dyDescent="0.35">
      <c r="A3" s="3">
        <v>2012</v>
      </c>
      <c r="B3" s="4">
        <v>24.4</v>
      </c>
      <c r="C3" s="4">
        <v>1.3</v>
      </c>
      <c r="D3" s="20">
        <v>587173</v>
      </c>
      <c r="E3" s="20">
        <v>500000</v>
      </c>
      <c r="F3" s="4">
        <v>3774</v>
      </c>
      <c r="G3" s="4">
        <v>0</v>
      </c>
      <c r="H3" s="4">
        <v>455445</v>
      </c>
      <c r="I3" s="5">
        <v>10520777</v>
      </c>
    </row>
    <row r="4" spans="1:9" ht="16.8" thickBot="1" x14ac:dyDescent="0.35">
      <c r="A4" s="3">
        <v>2013</v>
      </c>
      <c r="B4" s="4">
        <v>24.18</v>
      </c>
      <c r="C4" s="4">
        <v>0.85</v>
      </c>
      <c r="D4" s="20">
        <v>387128</v>
      </c>
      <c r="E4" s="20">
        <v>510000</v>
      </c>
      <c r="F4" s="4">
        <v>0</v>
      </c>
      <c r="G4" s="4">
        <v>5267</v>
      </c>
      <c r="H4" s="4">
        <v>450178</v>
      </c>
      <c r="I4" s="5">
        <v>10502657</v>
      </c>
    </row>
    <row r="5" spans="1:9" ht="16.8" thickBot="1" x14ac:dyDescent="0.35">
      <c r="A5" s="3">
        <v>2014</v>
      </c>
      <c r="B5" s="4">
        <v>23.96</v>
      </c>
      <c r="C5" s="4">
        <v>1</v>
      </c>
      <c r="D5" s="20">
        <v>450178</v>
      </c>
      <c r="E5" s="20">
        <v>520200</v>
      </c>
      <c r="F5" s="4">
        <v>0</v>
      </c>
      <c r="G5" s="4">
        <v>3050</v>
      </c>
      <c r="H5" s="4">
        <v>447128</v>
      </c>
      <c r="I5" s="5">
        <v>10266070</v>
      </c>
    </row>
    <row r="6" spans="1:9" ht="16.8" thickBot="1" x14ac:dyDescent="0.35">
      <c r="A6" s="3">
        <v>2015</v>
      </c>
      <c r="B6" s="4">
        <v>22.65</v>
      </c>
      <c r="C6" s="4">
        <v>1</v>
      </c>
      <c r="D6" s="20">
        <v>447128</v>
      </c>
      <c r="E6" s="20">
        <v>530604</v>
      </c>
      <c r="F6" s="4">
        <v>0</v>
      </c>
      <c r="G6" s="4">
        <v>3856</v>
      </c>
      <c r="H6" s="4">
        <v>443273</v>
      </c>
      <c r="I6" s="5">
        <v>9596856</v>
      </c>
    </row>
    <row r="7" spans="1:9" ht="16.8" thickBot="1" x14ac:dyDescent="0.35">
      <c r="A7" s="3">
        <v>2016</v>
      </c>
      <c r="B7" s="4">
        <v>25.35</v>
      </c>
      <c r="C7" s="4">
        <v>1.3</v>
      </c>
      <c r="D7" s="20">
        <v>576255</v>
      </c>
      <c r="E7" s="20">
        <v>541216</v>
      </c>
      <c r="F7" s="4">
        <v>1457</v>
      </c>
      <c r="G7" s="4">
        <v>0</v>
      </c>
      <c r="H7" s="4">
        <v>444730</v>
      </c>
      <c r="I7" s="5">
        <v>10695749</v>
      </c>
    </row>
    <row r="8" spans="1:9" ht="16.8" thickBot="1" x14ac:dyDescent="0.35">
      <c r="A8" s="3">
        <v>2017</v>
      </c>
      <c r="B8" s="4">
        <v>26.39</v>
      </c>
      <c r="C8" s="4">
        <v>0.95</v>
      </c>
      <c r="D8" s="20">
        <v>422493</v>
      </c>
      <c r="E8" s="20">
        <v>552040</v>
      </c>
      <c r="F8" s="4">
        <v>0</v>
      </c>
      <c r="G8" s="4">
        <v>5092</v>
      </c>
      <c r="H8" s="4">
        <v>439637</v>
      </c>
      <c r="I8" s="5">
        <v>11184376</v>
      </c>
    </row>
    <row r="9" spans="1:9" ht="16.8" thickBot="1" x14ac:dyDescent="0.35">
      <c r="A9" s="3">
        <v>2018</v>
      </c>
      <c r="B9" s="4">
        <v>25.81</v>
      </c>
      <c r="C9" s="4">
        <v>1.45</v>
      </c>
      <c r="D9" s="20">
        <v>637474</v>
      </c>
      <c r="E9" s="20">
        <v>563081</v>
      </c>
      <c r="F9" s="4">
        <v>3054</v>
      </c>
      <c r="G9" s="4">
        <v>0</v>
      </c>
      <c r="H9" s="4">
        <v>442691</v>
      </c>
      <c r="I9" s="5">
        <v>10783961</v>
      </c>
    </row>
    <row r="10" spans="1:9" ht="16.8" thickBot="1" x14ac:dyDescent="0.35">
      <c r="A10" s="3">
        <v>2019</v>
      </c>
      <c r="B10" s="4">
        <v>29.03</v>
      </c>
      <c r="C10" s="4">
        <v>1.8</v>
      </c>
      <c r="D10" s="20">
        <v>796844</v>
      </c>
      <c r="E10" s="20">
        <v>574343</v>
      </c>
      <c r="F10" s="4">
        <v>8171</v>
      </c>
      <c r="G10" s="4">
        <v>0</v>
      </c>
      <c r="H10" s="4">
        <v>450863</v>
      </c>
      <c r="I10" s="5">
        <v>12276986</v>
      </c>
    </row>
    <row r="11" spans="1:9" ht="16.8" thickBot="1" x14ac:dyDescent="0.35">
      <c r="A11" s="3">
        <v>2020</v>
      </c>
      <c r="B11" s="4">
        <v>29.69</v>
      </c>
      <c r="C11" s="4">
        <v>1.6</v>
      </c>
      <c r="D11" s="20">
        <v>721380</v>
      </c>
      <c r="E11" s="20">
        <v>585830</v>
      </c>
      <c r="F11" s="4">
        <v>4826</v>
      </c>
      <c r="G11" s="4">
        <v>0</v>
      </c>
      <c r="H11" s="4">
        <v>455688</v>
      </c>
      <c r="I11" s="5">
        <v>12800278</v>
      </c>
    </row>
    <row r="12" spans="1:9" ht="16.8" thickBot="1" x14ac:dyDescent="0.35">
      <c r="A12" s="3">
        <v>2021</v>
      </c>
      <c r="B12" s="4">
        <v>32.4</v>
      </c>
      <c r="C12" s="4">
        <v>1.8</v>
      </c>
      <c r="D12" s="20">
        <v>820239</v>
      </c>
      <c r="E12" s="20">
        <v>597546</v>
      </c>
      <c r="F12" s="4">
        <v>7278</v>
      </c>
      <c r="G12" s="4">
        <v>0</v>
      </c>
      <c r="H12" s="4">
        <v>462966</v>
      </c>
      <c r="I12" s="5">
        <v>14166748</v>
      </c>
    </row>
    <row r="13" spans="1:9" ht="16.8" thickBot="1" x14ac:dyDescent="0.35">
      <c r="A13" s="3">
        <v>2022</v>
      </c>
      <c r="B13" s="4">
        <v>25.84</v>
      </c>
      <c r="C13" s="4">
        <v>2.1</v>
      </c>
      <c r="D13" s="20">
        <v>972228</v>
      </c>
      <c r="E13" s="20">
        <v>609497</v>
      </c>
      <c r="F13" s="4">
        <v>15279</v>
      </c>
      <c r="G13" s="4">
        <v>0</v>
      </c>
      <c r="H13" s="4">
        <v>478245</v>
      </c>
      <c r="I13" s="5">
        <v>11353534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6242-D6D7-4EB5-A90D-E3F9EF806C2D}">
  <dimension ref="A1:I25"/>
  <sheetViews>
    <sheetView workbookViewId="0">
      <selection activeCell="I4" sqref="I4"/>
    </sheetView>
  </sheetViews>
  <sheetFormatPr defaultRowHeight="16.2" x14ac:dyDescent="0.3"/>
  <cols>
    <col min="1" max="1" width="10" style="2" customWidth="1"/>
    <col min="2" max="2" width="12.125" style="6" customWidth="1"/>
    <col min="3" max="3" width="11.375" style="6" customWidth="1"/>
    <col min="4" max="4" width="12.625" style="21" customWidth="1"/>
    <col min="5" max="5" width="12.125" style="21" customWidth="1"/>
    <col min="6" max="6" width="13.125" style="6" customWidth="1"/>
    <col min="7" max="8" width="13.625" style="21" customWidth="1"/>
    <col min="9" max="9" width="15.5" style="6" customWidth="1"/>
    <col min="10" max="16384" width="9" style="6"/>
  </cols>
  <sheetData>
    <row r="1" spans="1:9" s="2" customFormat="1" ht="33" thickBot="1" x14ac:dyDescent="0.35">
      <c r="A1" s="27" t="s">
        <v>0</v>
      </c>
      <c r="B1" s="27" t="s">
        <v>1</v>
      </c>
      <c r="C1" s="27" t="s">
        <v>2</v>
      </c>
      <c r="D1" s="28" t="s">
        <v>3</v>
      </c>
      <c r="E1" s="28" t="s">
        <v>9</v>
      </c>
      <c r="F1" s="27" t="s">
        <v>5</v>
      </c>
      <c r="G1" s="28" t="s">
        <v>6</v>
      </c>
      <c r="H1" s="28" t="s">
        <v>7</v>
      </c>
      <c r="I1" s="27" t="s">
        <v>8</v>
      </c>
    </row>
    <row r="2" spans="1:9" ht="16.8" thickBot="1" x14ac:dyDescent="0.35">
      <c r="A2" s="1">
        <v>2011</v>
      </c>
      <c r="B2" s="4">
        <v>49.81</v>
      </c>
      <c r="C2" s="4">
        <v>0</v>
      </c>
      <c r="D2" s="20">
        <v>0</v>
      </c>
      <c r="E2" s="20">
        <v>0</v>
      </c>
      <c r="F2" s="4">
        <v>0</v>
      </c>
      <c r="G2" s="20">
        <v>0</v>
      </c>
      <c r="H2" s="20">
        <v>200763</v>
      </c>
      <c r="I2" s="5">
        <v>10000000</v>
      </c>
    </row>
    <row r="3" spans="1:9" ht="16.8" thickBot="1" x14ac:dyDescent="0.35">
      <c r="A3" s="1">
        <v>2012</v>
      </c>
      <c r="B3" s="4">
        <v>52.9</v>
      </c>
      <c r="C3" s="4">
        <v>1.85</v>
      </c>
      <c r="D3" s="20">
        <v>371411</v>
      </c>
      <c r="E3" s="20">
        <v>500000</v>
      </c>
      <c r="F3" s="4">
        <v>0</v>
      </c>
      <c r="G3" s="20">
        <v>2519</v>
      </c>
      <c r="H3" s="20">
        <v>198244</v>
      </c>
      <c r="I3" s="5">
        <v>10120357</v>
      </c>
    </row>
    <row r="4" spans="1:9" ht="16.8" thickBot="1" x14ac:dyDescent="0.35">
      <c r="A4" s="1">
        <v>2013</v>
      </c>
      <c r="B4" s="4">
        <v>58.7</v>
      </c>
      <c r="C4" s="4">
        <v>1.35</v>
      </c>
      <c r="D4" s="20">
        <v>267629</v>
      </c>
      <c r="E4" s="20">
        <v>510000</v>
      </c>
      <c r="F4" s="4">
        <v>0</v>
      </c>
      <c r="G4" s="20">
        <v>8688</v>
      </c>
      <c r="H4" s="20">
        <v>189556</v>
      </c>
      <c r="I4" s="5">
        <v>10871024</v>
      </c>
    </row>
    <row r="5" spans="1:9" ht="16.8" thickBot="1" x14ac:dyDescent="0.35">
      <c r="A5" s="1">
        <v>2014</v>
      </c>
      <c r="B5" s="4">
        <v>65.05</v>
      </c>
      <c r="C5" s="4">
        <v>1.55</v>
      </c>
      <c r="D5" s="20">
        <v>293811</v>
      </c>
      <c r="E5" s="20">
        <v>520200</v>
      </c>
      <c r="F5" s="4">
        <v>0</v>
      </c>
      <c r="G5" s="20">
        <v>7997</v>
      </c>
      <c r="H5" s="20">
        <v>181559</v>
      </c>
      <c r="I5" s="5">
        <v>11528987</v>
      </c>
    </row>
    <row r="6" spans="1:9" ht="16.8" thickBot="1" x14ac:dyDescent="0.35">
      <c r="A6" s="1">
        <v>2015</v>
      </c>
      <c r="B6" s="4">
        <v>65.900000000000006</v>
      </c>
      <c r="C6" s="4">
        <v>2</v>
      </c>
      <c r="D6" s="20">
        <v>363118</v>
      </c>
      <c r="E6" s="20">
        <v>530604</v>
      </c>
      <c r="F6" s="4">
        <v>0</v>
      </c>
      <c r="G6" s="20">
        <v>2621</v>
      </c>
      <c r="H6" s="20">
        <v>178938</v>
      </c>
      <c r="I6" s="5">
        <v>11434124</v>
      </c>
    </row>
    <row r="7" spans="1:9" ht="16.8" thickBot="1" x14ac:dyDescent="0.35">
      <c r="A7" s="1">
        <v>2016</v>
      </c>
      <c r="B7" s="4">
        <v>69.7</v>
      </c>
      <c r="C7" s="4">
        <v>0.85</v>
      </c>
      <c r="D7" s="20">
        <v>152097</v>
      </c>
      <c r="E7" s="20">
        <v>541216</v>
      </c>
      <c r="F7" s="4">
        <v>0</v>
      </c>
      <c r="G7" s="20">
        <v>5652</v>
      </c>
      <c r="H7" s="20">
        <v>173286</v>
      </c>
      <c r="I7" s="5">
        <v>11930747</v>
      </c>
    </row>
    <row r="8" spans="1:9" x14ac:dyDescent="0.3">
      <c r="A8" s="16">
        <v>2017</v>
      </c>
      <c r="B8" s="8">
        <v>73.3</v>
      </c>
      <c r="C8" s="8">
        <v>1.7</v>
      </c>
      <c r="D8" s="24">
        <v>294586</v>
      </c>
      <c r="E8" s="24">
        <v>0</v>
      </c>
      <c r="F8" s="8">
        <v>4114</v>
      </c>
      <c r="G8" s="24">
        <v>0</v>
      </c>
      <c r="H8" s="24">
        <v>177400</v>
      </c>
      <c r="I8" s="9">
        <v>12701871</v>
      </c>
    </row>
    <row r="9" spans="1:9" x14ac:dyDescent="0.3">
      <c r="A9" s="17"/>
      <c r="B9" s="11"/>
      <c r="C9" s="11"/>
      <c r="D9" s="25"/>
      <c r="E9" s="25"/>
      <c r="F9" s="11"/>
      <c r="G9" s="25"/>
      <c r="H9" s="25"/>
      <c r="I9" s="11"/>
    </row>
    <row r="10" spans="1:9" ht="16.8" thickBot="1" x14ac:dyDescent="0.35">
      <c r="A10" s="18"/>
      <c r="B10" s="13">
        <v>82.1</v>
      </c>
      <c r="C10" s="13">
        <v>0.7</v>
      </c>
      <c r="D10" s="26">
        <v>124180</v>
      </c>
      <c r="E10" s="26">
        <v>552040</v>
      </c>
      <c r="F10" s="13">
        <v>0</v>
      </c>
      <c r="G10" s="26">
        <v>5256</v>
      </c>
      <c r="H10" s="26">
        <v>172144</v>
      </c>
      <c r="I10" s="14">
        <v>14012535</v>
      </c>
    </row>
    <row r="11" spans="1:9" x14ac:dyDescent="0.3">
      <c r="A11" s="16">
        <v>2018</v>
      </c>
      <c r="B11" s="8">
        <v>87.5</v>
      </c>
      <c r="C11" s="8">
        <v>2.2000000000000002</v>
      </c>
      <c r="D11" s="24">
        <v>378717</v>
      </c>
      <c r="E11" s="24">
        <v>0</v>
      </c>
      <c r="F11" s="8">
        <v>4440</v>
      </c>
      <c r="G11" s="24">
        <v>0</v>
      </c>
      <c r="H11" s="24">
        <v>176584</v>
      </c>
      <c r="I11" s="9">
        <v>15062614</v>
      </c>
    </row>
    <row r="12" spans="1:9" x14ac:dyDescent="0.3">
      <c r="A12" s="17"/>
      <c r="B12" s="11"/>
      <c r="C12" s="11"/>
      <c r="D12" s="25"/>
      <c r="E12" s="25"/>
      <c r="F12" s="11"/>
      <c r="G12" s="25"/>
      <c r="H12" s="25"/>
      <c r="I12" s="11"/>
    </row>
    <row r="13" spans="1:9" ht="16.8" thickBot="1" x14ac:dyDescent="0.35">
      <c r="A13" s="18"/>
      <c r="B13" s="13">
        <v>84.65</v>
      </c>
      <c r="C13" s="13">
        <v>0.7</v>
      </c>
      <c r="D13" s="26">
        <v>123609</v>
      </c>
      <c r="E13" s="26">
        <v>563081</v>
      </c>
      <c r="F13" s="13">
        <v>0</v>
      </c>
      <c r="G13" s="26">
        <v>5235</v>
      </c>
      <c r="H13" s="26">
        <v>171349</v>
      </c>
      <c r="I13" s="14">
        <v>14384753</v>
      </c>
    </row>
    <row r="14" spans="1:9" x14ac:dyDescent="0.3">
      <c r="A14" s="16">
        <v>2019</v>
      </c>
      <c r="B14" s="8">
        <v>76.5</v>
      </c>
      <c r="C14" s="8">
        <v>2.2999999999999998</v>
      </c>
      <c r="D14" s="24">
        <v>394103</v>
      </c>
      <c r="E14" s="24">
        <v>0</v>
      </c>
      <c r="F14" s="8">
        <v>5311</v>
      </c>
      <c r="G14" s="24">
        <v>0</v>
      </c>
      <c r="H14" s="24">
        <v>176660</v>
      </c>
      <c r="I14" s="9">
        <v>13108203</v>
      </c>
    </row>
    <row r="15" spans="1:9" x14ac:dyDescent="0.3">
      <c r="A15" s="17"/>
      <c r="B15" s="11"/>
      <c r="C15" s="11"/>
      <c r="D15" s="25"/>
      <c r="E15" s="25"/>
      <c r="F15" s="11"/>
      <c r="G15" s="25"/>
      <c r="H15" s="25"/>
      <c r="I15" s="11"/>
    </row>
    <row r="16" spans="1:9" ht="16.8" thickBot="1" x14ac:dyDescent="0.35">
      <c r="A16" s="18"/>
      <c r="B16" s="13">
        <v>82.7</v>
      </c>
      <c r="C16" s="13">
        <v>0.7</v>
      </c>
      <c r="D16" s="26">
        <v>123662</v>
      </c>
      <c r="E16" s="26">
        <v>574343</v>
      </c>
      <c r="F16" s="13">
        <v>0</v>
      </c>
      <c r="G16" s="26">
        <v>5496</v>
      </c>
      <c r="H16" s="26">
        <v>171164</v>
      </c>
      <c r="I16" s="14">
        <v>14035473</v>
      </c>
    </row>
    <row r="17" spans="1:9" x14ac:dyDescent="0.3">
      <c r="A17" s="16">
        <v>2020</v>
      </c>
      <c r="B17" s="8">
        <v>92.15</v>
      </c>
      <c r="C17" s="8">
        <v>2.9</v>
      </c>
      <c r="D17" s="24">
        <v>496376</v>
      </c>
      <c r="E17" s="24">
        <v>0</v>
      </c>
      <c r="F17" s="8">
        <v>5562</v>
      </c>
      <c r="G17" s="24">
        <v>0</v>
      </c>
      <c r="H17" s="24">
        <v>176726</v>
      </c>
      <c r="I17" s="9">
        <v>15772791</v>
      </c>
    </row>
    <row r="18" spans="1:9" x14ac:dyDescent="0.3">
      <c r="A18" s="17"/>
      <c r="B18" s="11"/>
      <c r="C18" s="11"/>
      <c r="D18" s="25"/>
      <c r="E18" s="25"/>
      <c r="F18" s="11"/>
      <c r="G18" s="25"/>
      <c r="H18" s="25"/>
      <c r="I18" s="11"/>
    </row>
    <row r="19" spans="1:9" ht="16.8" thickBot="1" x14ac:dyDescent="0.35">
      <c r="A19" s="18"/>
      <c r="B19" s="13">
        <v>97.05</v>
      </c>
      <c r="C19" s="13">
        <v>0.7</v>
      </c>
      <c r="D19" s="26">
        <v>123708</v>
      </c>
      <c r="E19" s="26">
        <v>585830</v>
      </c>
      <c r="F19" s="13">
        <v>0</v>
      </c>
      <c r="G19" s="26">
        <v>4796</v>
      </c>
      <c r="H19" s="26">
        <v>171930</v>
      </c>
      <c r="I19" s="14">
        <v>16565424</v>
      </c>
    </row>
    <row r="20" spans="1:9" x14ac:dyDescent="0.3">
      <c r="A20" s="16">
        <v>2021</v>
      </c>
      <c r="B20" s="8">
        <v>143</v>
      </c>
      <c r="C20" s="8">
        <v>3.05</v>
      </c>
      <c r="D20" s="24">
        <v>524385</v>
      </c>
      <c r="E20" s="24">
        <v>0</v>
      </c>
      <c r="F20" s="8">
        <v>3747</v>
      </c>
      <c r="G20" s="24">
        <v>0</v>
      </c>
      <c r="H20" s="24">
        <v>175677</v>
      </c>
      <c r="I20" s="9">
        <v>24585943</v>
      </c>
    </row>
    <row r="21" spans="1:9" x14ac:dyDescent="0.3">
      <c r="A21" s="17"/>
      <c r="B21" s="11"/>
      <c r="C21" s="11"/>
      <c r="D21" s="25"/>
      <c r="E21" s="25"/>
      <c r="F21" s="11"/>
      <c r="G21" s="25"/>
      <c r="H21" s="25"/>
      <c r="I21" s="11"/>
    </row>
    <row r="22" spans="1:9" ht="16.8" thickBot="1" x14ac:dyDescent="0.35">
      <c r="A22" s="18"/>
      <c r="B22" s="13">
        <v>137.19999999999999</v>
      </c>
      <c r="C22" s="13">
        <v>0.35</v>
      </c>
      <c r="D22" s="26">
        <v>61487</v>
      </c>
      <c r="E22" s="26">
        <v>597546</v>
      </c>
      <c r="F22" s="13">
        <v>0</v>
      </c>
      <c r="G22" s="26">
        <v>3917</v>
      </c>
      <c r="H22" s="26">
        <v>171759</v>
      </c>
      <c r="I22" s="14">
        <v>23505286</v>
      </c>
    </row>
    <row r="23" spans="1:9" x14ac:dyDescent="0.3">
      <c r="A23" s="16">
        <v>2022</v>
      </c>
      <c r="B23" s="8">
        <v>149.1</v>
      </c>
      <c r="C23" s="8">
        <v>3.2</v>
      </c>
      <c r="D23" s="24">
        <v>549630</v>
      </c>
      <c r="E23" s="24">
        <v>0</v>
      </c>
      <c r="F23" s="8">
        <v>3767</v>
      </c>
      <c r="G23" s="24">
        <v>0</v>
      </c>
      <c r="H23" s="24">
        <v>175527</v>
      </c>
      <c r="I23" s="9">
        <v>25609340</v>
      </c>
    </row>
    <row r="24" spans="1:9" x14ac:dyDescent="0.3">
      <c r="A24" s="17"/>
      <c r="B24" s="11"/>
      <c r="C24" s="11"/>
      <c r="D24" s="25"/>
      <c r="E24" s="25"/>
      <c r="F24" s="11"/>
      <c r="G24" s="25"/>
      <c r="H24" s="25"/>
      <c r="I24" s="11"/>
    </row>
    <row r="25" spans="1:9" ht="16.8" thickBot="1" x14ac:dyDescent="0.35">
      <c r="A25" s="18"/>
      <c r="B25" s="13">
        <v>115.5</v>
      </c>
      <c r="C25" s="13">
        <v>1.8</v>
      </c>
      <c r="D25" s="26">
        <v>315948</v>
      </c>
      <c r="E25" s="26">
        <v>609497</v>
      </c>
      <c r="F25" s="13">
        <v>0</v>
      </c>
      <c r="G25" s="26">
        <v>2582</v>
      </c>
      <c r="H25" s="26">
        <v>172945</v>
      </c>
      <c r="I25" s="14">
        <v>19663832</v>
      </c>
    </row>
  </sheetData>
  <mergeCells count="6">
    <mergeCell ref="A8:A10"/>
    <mergeCell ref="A11:A13"/>
    <mergeCell ref="A14:A16"/>
    <mergeCell ref="A17:A19"/>
    <mergeCell ref="A20:A22"/>
    <mergeCell ref="A23:A2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2-1_0056_(2008-2022)改</vt:lpstr>
      <vt:lpstr>2-2_0050_(2008-2022)改</vt:lpstr>
      <vt:lpstr>2-3_0056_(2011-2022)改</vt:lpstr>
      <vt:lpstr>2-4_0050_(2011-2022)改</vt:lpstr>
      <vt:lpstr>1-1_0050_(2008-2022)</vt:lpstr>
      <vt:lpstr>1-2_0056_(2008-2022)</vt:lpstr>
      <vt:lpstr>1-3_0056_(2011-2022)</vt:lpstr>
      <vt:lpstr>1-4_0050_(2011-2022)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蘇界賓</dc:creator>
  <cp:lastModifiedBy>蘇界賓</cp:lastModifiedBy>
  <dcterms:created xsi:type="dcterms:W3CDTF">2015-06-05T18:17:20Z</dcterms:created>
  <dcterms:modified xsi:type="dcterms:W3CDTF">2026-06-16T02:54:50Z</dcterms:modified>
</cp:coreProperties>
</file>