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網路文章\大仁_淺談保險觀念\"/>
    </mc:Choice>
  </mc:AlternateContent>
  <xr:revisionPtr revIDLastSave="0" documentId="13_ncr:1_{A4F6A35A-74B9-4688-9176-5EA13DB405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56buy正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2" l="1"/>
  <c r="F4" i="2"/>
  <c r="D7" i="2"/>
  <c r="F7" i="2" s="1"/>
  <c r="D8" i="2"/>
  <c r="F8" i="2" s="1"/>
  <c r="D9" i="2"/>
  <c r="F9" i="2" s="1"/>
  <c r="D10" i="2"/>
  <c r="F10" i="2" s="1"/>
  <c r="D11" i="2"/>
  <c r="F11" i="2" s="1"/>
  <c r="D5" i="2"/>
  <c r="F5" i="2" s="1"/>
  <c r="D6" i="2"/>
  <c r="D4" i="2"/>
  <c r="F12" i="2" l="1"/>
</calcChain>
</file>

<file path=xl/sharedStrings.xml><?xml version="1.0" encoding="utf-8"?>
<sst xmlns="http://schemas.openxmlformats.org/spreadsheetml/2006/main" count="13" uniqueCount="11">
  <si>
    <t>時間</t>
  </si>
  <si>
    <t>0056 股數</t>
  </si>
  <si>
    <t>正2 股價</t>
  </si>
  <si>
    <t>正2 總股數</t>
  </si>
  <si>
    <t>總市值</t>
  </si>
  <si>
    <t>配發股息</t>
    <phoneticPr fontId="2" type="noConversion"/>
  </si>
  <si>
    <t>領取股息</t>
    <phoneticPr fontId="2" type="noConversion"/>
  </si>
  <si>
    <t>初始本金</t>
    <phoneticPr fontId="2" type="noConversion"/>
  </si>
  <si>
    <t>正2
累積股數</t>
    <phoneticPr fontId="2" type="noConversion"/>
  </si>
  <si>
    <t>0056 總股數</t>
    <phoneticPr fontId="2" type="noConversion"/>
  </si>
  <si>
    <t>0056 股價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</si>
</sst>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0" formatCode="_-* #,##0.0_-;\-* #,##0.0_-;_-* &quot;-&quot;??_-;_-@_-"/>
    <numFmt numFmtId="181" formatCode="_-* #,##0_-;\-* #,##0_-;_-* &quot;-&quot;??_-;_-@_-"/>
  </numFmts>
  <fonts count="7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rgb="FF1F1F1F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1F1F1F"/>
      <name val="標楷體"/>
      <family val="4"/>
      <charset val="136"/>
    </font>
    <font>
      <b/>
      <sz val="12"/>
      <color rgb="FFC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4" fillId="0" borderId="0" xfId="0" applyFont="1"/>
    <xf numFmtId="0" fontId="5" fillId="0" borderId="1" xfId="0" applyFont="1" applyBorder="1" applyAlignment="1">
      <alignment vertical="center" wrapText="1" readingOrder="1"/>
    </xf>
    <xf numFmtId="181" fontId="5" fillId="0" borderId="1" xfId="1" applyNumberFormat="1" applyFont="1" applyBorder="1" applyAlignment="1">
      <alignment vertical="center" wrapText="1" readingOrder="1"/>
    </xf>
    <xf numFmtId="0" fontId="4" fillId="0" borderId="0" xfId="0" applyFont="1" applyAlignment="1">
      <alignment horizontal="left"/>
    </xf>
    <xf numFmtId="181" fontId="4" fillId="0" borderId="0" xfId="1" applyNumberFormat="1" applyFont="1" applyAlignment="1">
      <alignment horizontal="left"/>
    </xf>
    <xf numFmtId="0" fontId="3" fillId="2" borderId="1" xfId="0" applyFont="1" applyFill="1" applyBorder="1" applyAlignment="1">
      <alignment horizontal="center" vertical="center" wrapText="1" readingOrder="1"/>
    </xf>
    <xf numFmtId="180" fontId="3" fillId="0" borderId="1" xfId="1" applyNumberFormat="1" applyFont="1" applyBorder="1" applyAlignment="1">
      <alignment vertical="center" wrapText="1" readingOrder="1"/>
    </xf>
    <xf numFmtId="181" fontId="3" fillId="0" borderId="1" xfId="1" applyNumberFormat="1" applyFont="1" applyBorder="1" applyAlignment="1">
      <alignment vertical="center" wrapText="1" readingOrder="1"/>
    </xf>
    <xf numFmtId="181" fontId="5" fillId="0" borderId="1" xfId="0" applyNumberFormat="1" applyFont="1" applyBorder="1" applyAlignment="1">
      <alignment vertical="center" wrapText="1" readingOrder="1"/>
    </xf>
    <xf numFmtId="181" fontId="4" fillId="0" borderId="0" xfId="0" applyNumberFormat="1" applyFont="1"/>
    <xf numFmtId="181" fontId="6" fillId="0" borderId="1" xfId="1" applyNumberFormat="1" applyFont="1" applyBorder="1" applyAlignment="1">
      <alignment vertical="center" wrapText="1" readingOrder="1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8942-937E-4A65-B20D-9FAD97B13CED}">
  <dimension ref="A1:G14"/>
  <sheetViews>
    <sheetView tabSelected="1" zoomScale="130" zoomScaleNormal="130" workbookViewId="0">
      <selection activeCell="J6" sqref="J6"/>
    </sheetView>
  </sheetViews>
  <sheetFormatPr defaultRowHeight="16.2" x14ac:dyDescent="0.3"/>
  <cols>
    <col min="1" max="1" width="11.875" style="2" bestFit="1" customWidth="1"/>
    <col min="2" max="2" width="22.125" style="2" bestFit="1" customWidth="1"/>
    <col min="3" max="5" width="12.125" style="2" customWidth="1"/>
    <col min="6" max="6" width="16.375" style="2" customWidth="1"/>
    <col min="7" max="7" width="14.625" style="2" bestFit="1" customWidth="1"/>
    <col min="8" max="16384" width="9" style="2"/>
  </cols>
  <sheetData>
    <row r="1" spans="1:7" x14ac:dyDescent="0.3">
      <c r="A1" s="5" t="s">
        <v>7</v>
      </c>
      <c r="B1" s="6">
        <v>10000000</v>
      </c>
    </row>
    <row r="2" spans="1:7" ht="16.8" thickBot="1" x14ac:dyDescent="0.35"/>
    <row r="3" spans="1:7" ht="33" thickBot="1" x14ac:dyDescent="0.35">
      <c r="A3" s="7" t="s">
        <v>0</v>
      </c>
      <c r="B3" s="7" t="s">
        <v>1</v>
      </c>
      <c r="C3" s="7" t="s">
        <v>5</v>
      </c>
      <c r="D3" s="7" t="s">
        <v>6</v>
      </c>
      <c r="E3" s="7" t="s">
        <v>2</v>
      </c>
      <c r="F3" s="7" t="s">
        <v>8</v>
      </c>
    </row>
    <row r="4" spans="1:7" ht="16.8" thickBot="1" x14ac:dyDescent="0.35">
      <c r="A4" s="1">
        <v>2015</v>
      </c>
      <c r="B4" s="4">
        <v>47259</v>
      </c>
      <c r="C4" s="3">
        <v>1</v>
      </c>
      <c r="D4" s="10">
        <f>B4*C4</f>
        <v>47259</v>
      </c>
      <c r="E4" s="3">
        <v>20.11</v>
      </c>
      <c r="F4" s="10">
        <f>D4/E4</f>
        <v>2350.0248632521134</v>
      </c>
      <c r="G4" s="11"/>
    </row>
    <row r="5" spans="1:7" ht="16.8" thickBot="1" x14ac:dyDescent="0.35">
      <c r="A5" s="1">
        <v>2016</v>
      </c>
      <c r="B5" s="4">
        <v>47259</v>
      </c>
      <c r="C5" s="3">
        <v>1.3</v>
      </c>
      <c r="D5" s="10">
        <f t="shared" ref="D5:D11" si="0">B5*C5</f>
        <v>61436.700000000004</v>
      </c>
      <c r="E5" s="3">
        <v>25.78</v>
      </c>
      <c r="F5" s="10">
        <f t="shared" ref="F5:F11" si="1">D5/E5</f>
        <v>2383.1148176881302</v>
      </c>
      <c r="G5" s="11"/>
    </row>
    <row r="6" spans="1:7" ht="16.8" thickBot="1" x14ac:dyDescent="0.35">
      <c r="A6" s="1">
        <v>2017</v>
      </c>
      <c r="B6" s="4">
        <v>47259</v>
      </c>
      <c r="C6" s="3">
        <v>0.95</v>
      </c>
      <c r="D6" s="10">
        <f t="shared" si="0"/>
        <v>44896.049999999996</v>
      </c>
      <c r="E6" s="3">
        <v>36.5</v>
      </c>
      <c r="F6" s="10">
        <f t="shared" si="1"/>
        <v>1230.0287671232875</v>
      </c>
      <c r="G6" s="11"/>
    </row>
    <row r="7" spans="1:7" ht="16.8" thickBot="1" x14ac:dyDescent="0.35">
      <c r="A7" s="1">
        <v>2018</v>
      </c>
      <c r="B7" s="4">
        <v>47259</v>
      </c>
      <c r="C7" s="3">
        <v>1.45</v>
      </c>
      <c r="D7" s="10">
        <f t="shared" si="0"/>
        <v>68525.55</v>
      </c>
      <c r="E7" s="3">
        <v>32.68</v>
      </c>
      <c r="F7" s="10">
        <f t="shared" si="1"/>
        <v>2096.8650550795596</v>
      </c>
      <c r="G7" s="11"/>
    </row>
    <row r="8" spans="1:7" ht="16.8" thickBot="1" x14ac:dyDescent="0.35">
      <c r="A8" s="1">
        <v>2019</v>
      </c>
      <c r="B8" s="4">
        <v>47259</v>
      </c>
      <c r="C8" s="3">
        <v>1.8</v>
      </c>
      <c r="D8" s="10">
        <f t="shared" si="0"/>
        <v>85066.2</v>
      </c>
      <c r="E8" s="3">
        <v>46.03</v>
      </c>
      <c r="F8" s="10">
        <f t="shared" si="1"/>
        <v>1848.0599608950683</v>
      </c>
      <c r="G8" s="11"/>
    </row>
    <row r="9" spans="1:7" ht="16.8" thickBot="1" x14ac:dyDescent="0.35">
      <c r="A9" s="1">
        <v>2020</v>
      </c>
      <c r="B9" s="4">
        <v>47259</v>
      </c>
      <c r="C9" s="3">
        <v>1.6</v>
      </c>
      <c r="D9" s="10">
        <f t="shared" si="0"/>
        <v>75614.400000000009</v>
      </c>
      <c r="E9" s="3">
        <v>66.900000000000006</v>
      </c>
      <c r="F9" s="10">
        <f t="shared" si="1"/>
        <v>1130.2600896860986</v>
      </c>
      <c r="G9" s="11"/>
    </row>
    <row r="10" spans="1:7" ht="16.8" thickBot="1" x14ac:dyDescent="0.35">
      <c r="A10" s="1">
        <v>2021</v>
      </c>
      <c r="B10" s="4">
        <v>47259</v>
      </c>
      <c r="C10" s="3">
        <v>1.8</v>
      </c>
      <c r="D10" s="10">
        <f t="shared" si="0"/>
        <v>85066.2</v>
      </c>
      <c r="E10" s="3">
        <v>125.35</v>
      </c>
      <c r="F10" s="10">
        <f t="shared" si="1"/>
        <v>678.62943757479059</v>
      </c>
      <c r="G10" s="11"/>
    </row>
    <row r="11" spans="1:7" ht="16.8" thickBot="1" x14ac:dyDescent="0.35">
      <c r="A11" s="1">
        <v>2022</v>
      </c>
      <c r="B11" s="4">
        <v>47259</v>
      </c>
      <c r="C11" s="3">
        <v>2.1</v>
      </c>
      <c r="D11" s="10">
        <f t="shared" si="0"/>
        <v>99243.900000000009</v>
      </c>
      <c r="E11" s="3">
        <v>78.900000000000006</v>
      </c>
      <c r="F11" s="10">
        <f t="shared" si="1"/>
        <v>1257.8441064638782</v>
      </c>
      <c r="G11" s="11"/>
    </row>
    <row r="12" spans="1:7" ht="33" thickBot="1" x14ac:dyDescent="0.35">
      <c r="A12" s="1" t="s">
        <v>9</v>
      </c>
      <c r="B12" s="9">
        <v>47259</v>
      </c>
      <c r="C12" s="3"/>
      <c r="D12" s="3"/>
      <c r="E12" s="1" t="s">
        <v>3</v>
      </c>
      <c r="F12" s="9">
        <f>SUM(F4:F11)</f>
        <v>12974.827097762925</v>
      </c>
    </row>
    <row r="13" spans="1:7" ht="33" thickBot="1" x14ac:dyDescent="0.35">
      <c r="A13" s="1" t="s">
        <v>10</v>
      </c>
      <c r="B13" s="1">
        <v>25.67</v>
      </c>
      <c r="C13" s="3"/>
      <c r="D13" s="3"/>
      <c r="E13" s="1" t="s">
        <v>2</v>
      </c>
      <c r="F13" s="8">
        <v>96.4</v>
      </c>
    </row>
    <row r="14" spans="1:7" ht="16.8" thickBot="1" x14ac:dyDescent="0.35">
      <c r="A14" s="1" t="s">
        <v>4</v>
      </c>
      <c r="B14" s="12">
        <v>1213139</v>
      </c>
      <c r="C14" s="3"/>
      <c r="D14" s="3"/>
      <c r="E14" s="1" t="s">
        <v>4</v>
      </c>
      <c r="F14" s="12">
        <v>1250790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0056buy正2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蘇界賓</dc:creator>
  <cp:lastModifiedBy>蘇界賓</cp:lastModifiedBy>
  <dcterms:created xsi:type="dcterms:W3CDTF">2015-06-05T18:17:20Z</dcterms:created>
  <dcterms:modified xsi:type="dcterms:W3CDTF">2026-06-16T05:28:33Z</dcterms:modified>
</cp:coreProperties>
</file>